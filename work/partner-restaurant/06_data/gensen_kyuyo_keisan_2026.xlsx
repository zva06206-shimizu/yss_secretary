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04bd9006c6447c" /></Relationships>
</file>

<file path=xl/workbook.xml><?xml version="1.0" encoding="utf-8"?>
<x:workbook xmlns:x="http://schemas.openxmlformats.org/spreadsheetml/2006/main">
  <x:sheets>
    <x:sheet xmlns:r="http://schemas.openxmlformats.org/officeDocument/2006/relationships" name="月額表" sheetId="1" r:id="R00e941bad87949bc"/>
    <x:sheet xmlns:r="http://schemas.openxmlformats.org/officeDocument/2006/relationships" name="入力・計算" sheetId="2" r:id="Red5d38b8bab94761"/>
    <x:sheet xmlns:r="http://schemas.openxmlformats.org/officeDocument/2006/relationships" name="計算用税額表" sheetId="3" r:id="Ra97abe271350479f"/>
    <x:sheet xmlns:r="http://schemas.openxmlformats.org/officeDocument/2006/relationships" name="使い方" sheetId="4" r:id="R98cb81c5f3214d7c"/>
  </x:sheets>
</x:workbook>
</file>

<file path=xl/sharedStrings.xml><?xml version="1.0" encoding="utf-8"?>
<x:sst xmlns:x="http://schemas.openxmlformats.org/spreadsheetml/2006/main">
  <x:si>
    <x:r>
      <x:rPr>
        <x:sz val="14"/>
        <x:rFont val="Noto Sans CJK SC"/>
        <x:family val="2"/>
      </x:rPr>
      <x:t xml:space="preserve">給与所得の源泉徴収税額表（</x:t>
    </x:r>
    <x:r>
      <x:rPr>
        <x:sz val="14"/>
        <x:color rgb="FFFF0000"/>
        <x:rFont val="Noto Sans CJK SC"/>
        <x:family val="2"/>
      </x:rPr>
      <x:t xml:space="preserve">令和８年分</x:t>
    </x:r>
    <x:r>
      <x:rPr>
        <x:sz val="14"/>
        <x:rFont val="Noto Sans CJK SC"/>
        <x:family val="2"/>
      </x:rPr>
      <x:t xml:space="preserve">）</x:t>
    </x:r>
  </x:si>
  <x:si>
    <x:r>
      <x:rPr>
        <x:b/>
        <x:sz val="14"/>
        <x:rFont val="Noto Sans CJK SC"/>
        <x:family val="2"/>
      </x:rPr>
      <x:t xml:space="preserve">月　額　表</x:t>
    </x:r>
    <x:r>
      <x:rPr>
        <x:sz val="14"/>
        <x:rFont val="Noto Sans CJK SC"/>
        <x:family val="2"/>
      </x:rPr>
      <x:t xml:space="preserve">（平成</x:t>
    </x:r>
    <x:r>
      <x:rPr>
        <x:sz val="14"/>
        <x:rFont val="ＭＳ Ｐゴシック"/>
        <x:family val="3"/>
      </x:rPr>
      <x:t xml:space="preserve">24</x:t>
    </x:r>
    <x:r>
      <x:rPr>
        <x:sz val="14"/>
        <x:rFont val="Noto Sans CJK SC"/>
        <x:family val="2"/>
      </x:rPr>
      <x:t xml:space="preserve">年３月</x:t>
    </x:r>
    <x:r>
      <x:rPr>
        <x:sz val="14"/>
        <x:rFont val="ＭＳ Ｐゴシック"/>
        <x:family val="3"/>
      </x:rPr>
      <x:t xml:space="preserve">31</x:t>
    </x:r>
    <x:r>
      <x:rPr>
        <x:sz val="14"/>
        <x:rFont val="Noto Sans CJK SC"/>
        <x:family val="2"/>
      </x:rPr>
      <x:t xml:space="preserve">日財務省告示第</x:t>
    </x:r>
    <x:r>
      <x:rPr>
        <x:sz val="14"/>
        <x:rFont val="ＭＳ Ｐゴシック"/>
        <x:family val="3"/>
      </x:rPr>
      <x:t xml:space="preserve">115</x:t>
    </x:r>
    <x:r>
      <x:rPr>
        <x:sz val="14"/>
        <x:rFont val="Noto Sans CJK SC"/>
        <x:family val="2"/>
      </x:rPr>
      <x:t xml:space="preserve">号別表第一（令和７年４月</x:t>
    </x:r>
    <x:r>
      <x:rPr>
        <x:sz val="14"/>
        <x:rFont val="ＭＳ Ｐゴシック"/>
        <x:family val="3"/>
      </x:rPr>
      <x:t xml:space="preserve">30</x:t>
    </x:r>
    <x:r>
      <x:rPr>
        <x:sz val="14"/>
        <x:rFont val="Noto Sans CJK SC"/>
        <x:family val="2"/>
      </x:rPr>
      <x:t xml:space="preserve">日財務省告示第</x:t>
    </x:r>
    <x:r>
      <x:rPr>
        <x:sz val="14"/>
        <x:rFont val="ＭＳ Ｐゴシック"/>
        <x:family val="3"/>
      </x:rPr>
      <x:t xml:space="preserve">122</x:t>
    </x:r>
    <x:r>
      <x:rPr>
        <x:sz val="14"/>
        <x:rFont val="Noto Sans CJK SC"/>
        <x:family val="2"/>
      </x:rPr>
      <x:t xml:space="preserve">号改正））</x:t>
    </x:r>
  </x:si>
  <x:si>
    <x:t xml:space="preserve">   その月の社会保</x:t>
  </x:si>
  <x:si>
    <x:t xml:space="preserve">甲</x:t>
  </x:si>
  <x:si>
    <x:t xml:space="preserve">　</x:t>
  </x:si>
  <x:si>
    <x:t xml:space="preserve">   険料等控除後の</x:t>
  </x:si>
  <x:si>
    <x:t xml:space="preserve">扶        養        親        族        等        の        数</x:t>
  </x:si>
  <x:si>
    <x:t xml:space="preserve">乙</x:t>
  </x:si>
  <x:si>
    <x:t xml:space="preserve">   給与等の金額</x:t>
  </x:si>
  <x:si>
    <x:r>
      <x:rPr>
        <x:sz val="11"/>
        <x:rFont val="ＭＳ 明朝"/>
        <x:family val="1"/>
      </x:rPr>
      <x:t xml:space="preserve">0  </x:t>
    </x:r>
    <x:r>
      <x:rPr>
        <x:sz val="11"/>
        <x:rFont val="Noto Sans CJK SC"/>
        <x:family val="2"/>
      </x:rPr>
      <x:t xml:space="preserve">人</x:t>
    </x:r>
  </x:si>
  <x:si>
    <x:r>
      <x:rPr>
        <x:sz val="11"/>
        <x:rFont val="ＭＳ 明朝"/>
        <x:family val="1"/>
      </x:rPr>
      <x:t xml:space="preserve">1  </x:t>
    </x:r>
    <x:r>
      <x:rPr>
        <x:sz val="11"/>
        <x:rFont val="Noto Sans CJK SC"/>
        <x:family val="2"/>
      </x:rPr>
      <x:t xml:space="preserve">人</x:t>
    </x:r>
  </x:si>
  <x:si>
    <x:r>
      <x:rPr>
        <x:sz val="11"/>
        <x:rFont val="ＭＳ 明朝"/>
        <x:family val="1"/>
      </x:rPr>
      <x:t xml:space="preserve">2  </x:t>
    </x:r>
    <x:r>
      <x:rPr>
        <x:sz val="11"/>
        <x:rFont val="Noto Sans CJK SC"/>
        <x:family val="2"/>
      </x:rPr>
      <x:t xml:space="preserve">人</x:t>
    </x:r>
  </x:si>
  <x:si>
    <x:r>
      <x:rPr>
        <x:sz val="11"/>
        <x:rFont val="ＭＳ 明朝"/>
        <x:family val="1"/>
      </x:rPr>
      <x:t xml:space="preserve">3  </x:t>
    </x:r>
    <x:r>
      <x:rPr>
        <x:sz val="11"/>
        <x:rFont val="Noto Sans CJK SC"/>
        <x:family val="2"/>
      </x:rPr>
      <x:t xml:space="preserve">人</x:t>
    </x:r>
  </x:si>
  <x:si>
    <x:r>
      <x:rPr>
        <x:sz val="11"/>
        <x:rFont val="ＭＳ 明朝"/>
        <x:family val="1"/>
      </x:rPr>
      <x:t xml:space="preserve">4  </x:t>
    </x:r>
    <x:r>
      <x:rPr>
        <x:sz val="11"/>
        <x:rFont val="Noto Sans CJK SC"/>
        <x:family val="2"/>
      </x:rPr>
      <x:t xml:space="preserve">人</x:t>
    </x:r>
  </x:si>
  <x:si>
    <x:r>
      <x:rPr>
        <x:sz val="11"/>
        <x:rFont val="ＭＳ 明朝"/>
        <x:family val="1"/>
      </x:rPr>
      <x:t xml:space="preserve">5  </x:t>
    </x:r>
    <x:r>
      <x:rPr>
        <x:sz val="11"/>
        <x:rFont val="Noto Sans CJK SC"/>
        <x:family val="2"/>
      </x:rPr>
      <x:t xml:space="preserve">人</x:t>
    </x:r>
  </x:si>
  <x:si>
    <x:r>
      <x:rPr>
        <x:sz val="11"/>
        <x:rFont val="ＭＳ 明朝"/>
        <x:family val="1"/>
      </x:rPr>
      <x:t xml:space="preserve">6  </x:t>
    </x:r>
    <x:r>
      <x:rPr>
        <x:sz val="11"/>
        <x:rFont val="Noto Sans CJK SC"/>
        <x:family val="2"/>
      </x:rPr>
      <x:t xml:space="preserve">人</x:t>
    </x:r>
  </x:si>
  <x:si>
    <x:r>
      <x:rPr>
        <x:sz val="11"/>
        <x:rFont val="ＭＳ 明朝"/>
        <x:family val="1"/>
      </x:rPr>
      <x:t xml:space="preserve">7  </x:t>
    </x:r>
    <x:r>
      <x:rPr>
        <x:sz val="11"/>
        <x:rFont val="Noto Sans CJK SC"/>
        <x:family val="2"/>
      </x:rPr>
      <x:t xml:space="preserve">人</x:t>
    </x:r>
  </x:si>
  <x:si>
    <x:t xml:space="preserve">以  上</x:t>
  </x:si>
  <x:si>
    <x:t xml:space="preserve">未  満</x:t>
  </x:si>
  <x:si>
    <x:t xml:space="preserve">税                                            額</x:t>
  </x:si>
  <x:si>
    <x:t xml:space="preserve">税  額</x:t>
  </x:si>
  <x:si>
    <x:t xml:space="preserve">円</x:t>
  </x:si>
  <x:si>
    <x:t xml:space="preserve">円未満</x:t>
  </x:si>
  <x:si>
    <x:r>
      <x:rPr>
        <x:sz val="10"/>
        <x:rFont val="Noto Sans CJK SC"/>
        <x:family val="2"/>
      </x:rPr>
      <x:t xml:space="preserve">その月の社会保険料等控除後の給与等の金額の</x:t>
    </x:r>
    <x:r>
      <x:rPr>
        <x:sz val="10"/>
        <x:rFont val="ＭＳ Ｐゴシック"/>
        <x:family val="3"/>
      </x:rPr>
      <x:t xml:space="preserve">3.063</x:t>
    </x:r>
    <x:r>
      <x:rPr>
        <x:sz val="10"/>
        <x:rFont val="Noto Sans CJK SC"/>
        <x:family val="2"/>
      </x:rPr>
      <x:t xml:space="preserve">％に相当する金額</x:t>
    </x:r>
  </x:si>
  <x:si>
    <x:r>
      <x:rPr>
        <x:sz val="11"/>
        <x:color rgb="FF000000"/>
        <x:rFont val="ＭＳ Ｐゴシック"/>
        <x:family val="3"/>
      </x:rPr>
      <x:t xml:space="preserve">740,000</x:t>
    </x:r>
    <x:r>
      <x:rPr>
        <x:sz val="11"/>
        <x:color rgb="FF000000"/>
        <x:rFont val="Noto Sans CJK SC"/>
        <x:family val="2"/>
      </x:rPr>
      <x:t xml:space="preserve">円</x:t>
    </x:r>
  </x:si>
  <x:si>
    <x:r>
      <x:rPr>
        <x:sz val="11"/>
        <x:color rgb="FF000000"/>
        <x:rFont val="ＭＳ Ｐゴシック"/>
        <x:family val="3"/>
      </x:rPr>
      <x:t xml:space="preserve">259,200</x:t>
    </x:r>
    <x:r>
      <x:rPr>
        <x:sz val="11"/>
        <x:color rgb="FF000000"/>
        <x:rFont val="Noto Sans CJK SC"/>
        <x:family val="2"/>
      </x:rPr>
      <x:t xml:space="preserve">円に、その月の社会保険料等控除後の給与等の金額のうち</x:t>
    </x:r>
    <x:r>
      <x:rPr>
        <x:sz val="11"/>
        <x:color rgb="FF000000"/>
        <x:rFont val="ＭＳ Ｐゴシック"/>
        <x:family val="3"/>
      </x:rPr>
      <x:t xml:space="preserve">740,000</x:t>
    </x:r>
    <x:r>
      <x:rPr>
        <x:sz val="11"/>
        <x:color rgb="FF000000"/>
        <x:rFont val="Noto Sans CJK SC"/>
        <x:family val="2"/>
      </x:rPr>
      <x:t xml:space="preserve">円を超える金額の</x:t>
    </x:r>
    <x:r>
      <x:rPr>
        <x:sz val="11"/>
        <x:color rgb="FF000000"/>
        <x:rFont val="ＭＳ Ｐゴシック"/>
        <x:family val="3"/>
      </x:rPr>
      <x:t xml:space="preserve">40.84</x:t>
    </x:r>
    <x:r>
      <x:rPr>
        <x:sz val="11"/>
        <x:color rgb="FF000000"/>
        <x:rFont val="Noto Sans CJK SC"/>
        <x:family val="2"/>
      </x:rPr>
      <x:t xml:space="preserve">％に相当する金額を加算した金額</x:t>
    </x:r>
  </x:si>
  <x:si>
    <x:r>
      <x:rPr>
        <x:sz val="11"/>
        <x:color rgb="FF000000"/>
        <x:rFont val="ＭＳ Ｐゴシック"/>
        <x:family val="3"/>
      </x:rPr>
      <x:t xml:space="preserve"> 740,000</x:t>
    </x:r>
    <x:r>
      <x:rPr>
        <x:sz val="11"/>
        <x:color rgb="FF000000"/>
        <x:rFont val="Noto Sans CJK SC"/>
        <x:family val="2"/>
      </x:rPr>
      <x:t xml:space="preserve">円を超え</x:t>
    </x:r>
  </x:si>
  <x:si>
    <x:r>
      <x:rPr>
        <x:sz val="11"/>
        <x:color rgb="FF000000"/>
        <x:rFont val="ＭＳ Ｐゴシック"/>
        <x:family val="3"/>
      </x:rPr>
      <x:t xml:space="preserve"> 740,000</x:t>
    </x:r>
    <x:r>
      <x:rPr>
        <x:sz val="11"/>
        <x:color rgb="FF000000"/>
        <x:rFont val="Noto Sans CJK SC"/>
        <x:family val="2"/>
      </x:rPr>
      <x:t xml:space="preserve">円の場合の税額に、その月の社会保険料等控除後の給与等の金額のうち</x:t>
    </x:r>
  </x:si>
  <x:si>
    <x:r>
      <x:rPr>
        <x:sz val="11"/>
        <x:color rgb="FF000000"/>
        <x:rFont val="ＭＳ Ｐゴシック"/>
        <x:family val="3"/>
      </x:rPr>
      <x:t xml:space="preserve"> 790,000</x:t>
    </x:r>
    <x:r>
      <x:rPr>
        <x:sz val="11"/>
        <x:color rgb="FF000000"/>
        <x:rFont val="Noto Sans CJK SC"/>
        <x:family val="2"/>
      </x:rPr>
      <x:t xml:space="preserve">円に満た</x:t>
    </x:r>
  </x:si>
  <x:si>
    <x:r>
      <x:rPr>
        <x:sz val="11"/>
        <x:color rgb="FF000000"/>
        <x:rFont val="ＭＳ Ｐゴシック"/>
        <x:family val="3"/>
      </x:rPr>
      <x:t xml:space="preserve"> 740,000</x:t>
    </x:r>
    <x:r>
      <x:rPr>
        <x:sz val="11"/>
        <x:color rgb="FF000000"/>
        <x:rFont val="Noto Sans CJK SC"/>
        <x:family val="2"/>
      </x:rPr>
      <x:t xml:space="preserve">円を超える金額の</x:t>
    </x:r>
    <x:r>
      <x:rPr>
        <x:sz val="11"/>
        <x:color rgb="FF000000"/>
        <x:rFont val="ＭＳ Ｐゴシック"/>
        <x:family val="3"/>
      </x:rPr>
      <x:t xml:space="preserve">20.42</x:t>
    </x:r>
    <x:r>
      <x:rPr>
        <x:sz val="11"/>
        <x:color rgb="FF000000"/>
        <x:rFont val="Noto Sans CJK SC"/>
        <x:family val="2"/>
      </x:rPr>
      <x:t xml:space="preserve">％に相当する金額を加算した金額</x:t>
    </x:r>
  </x:si>
  <x:si>
    <x:t xml:space="preserve"> ない金額</x:t>
  </x:si>
  <x:si>
    <x:t xml:space="preserve"> </x:t>
  </x:si>
  <x:si>
    <x:r>
      <x:rPr>
        <x:sz val="11"/>
        <x:rFont val="ＭＳ Ｐゴシック"/>
        <x:family val="3"/>
      </x:rPr>
      <x:t xml:space="preserve">259,200</x:t>
    </x:r>
    <x:r>
      <x:rPr>
        <x:sz val="11"/>
        <x:rFont val="Noto Sans CJK SC"/>
        <x:family val="2"/>
      </x:rPr>
      <x:t xml:space="preserve">円に、その月の社会保険料等控除後の給与等の金額のうち</x:t>
    </x:r>
    <x:r>
      <x:rPr>
        <x:sz val="11"/>
        <x:rFont val="ＭＳ Ｐゴシック"/>
        <x:family val="3"/>
      </x:rPr>
      <x:t xml:space="preserve">740,000</x:t>
    </x:r>
    <x:r>
      <x:rPr>
        <x:sz val="11"/>
        <x:rFont val="Noto Sans CJK SC"/>
        <x:family val="2"/>
      </x:rPr>
      <x:t xml:space="preserve">円を超える金額の</x:t>
    </x:r>
    <x:r>
      <x:rPr>
        <x:sz val="11"/>
        <x:rFont val="ＭＳ Ｐゴシック"/>
        <x:family val="3"/>
      </x:rPr>
      <x:t xml:space="preserve">40.84</x:t>
    </x:r>
    <x:r>
      <x:rPr>
        <x:sz val="11"/>
        <x:rFont val="Noto Sans CJK SC"/>
        <x:family val="2"/>
      </x:rPr>
      <x:t xml:space="preserve">％に相当する金額を加算した金額</x:t>
    </x:r>
  </x:si>
  <x:si>
    <x:r>
      <x:rPr>
        <x:sz val="11"/>
        <x:color rgb="FF000000"/>
        <x:rFont val="ＭＳ Ｐゴシック"/>
        <x:family val="3"/>
      </x:rPr>
      <x:t xml:space="preserve">790,000</x:t>
    </x:r>
    <x:r>
      <x:rPr>
        <x:sz val="11"/>
        <x:color rgb="FF000000"/>
        <x:rFont val="Noto Sans CJK SC"/>
        <x:family val="2"/>
      </x:rPr>
      <x:t xml:space="preserve">円</x:t>
    </x:r>
  </x:si>
  <x:si>
    <x:r>
      <x:rPr>
        <x:sz val="11"/>
        <x:color rgb="FF000000"/>
        <x:rFont val="ＭＳ Ｐゴシック"/>
        <x:family val="3"/>
      </x:rPr>
      <x:t xml:space="preserve"> 790,000</x:t>
    </x:r>
    <x:r>
      <x:rPr>
        <x:sz val="11"/>
        <x:color rgb="FF000000"/>
        <x:rFont val="Noto Sans CJK SC"/>
        <x:family val="2"/>
      </x:rPr>
      <x:t xml:space="preserve">円を超え</x:t>
    </x:r>
  </x:si>
  <x:si>
    <x:r>
      <x:rPr>
        <x:sz val="11"/>
        <x:color rgb="FF000000"/>
        <x:rFont val="ＭＳ Ｐゴシック"/>
        <x:family val="3"/>
      </x:rPr>
      <x:t xml:space="preserve"> 790,000</x:t>
    </x:r>
    <x:r>
      <x:rPr>
        <x:sz val="11"/>
        <x:color rgb="FF000000"/>
        <x:rFont val="Noto Sans CJK SC"/>
        <x:family val="2"/>
      </x:rPr>
      <x:t xml:space="preserve">円の場合の税額に、その月の社会保険料等控除後の給与等の金額のうち</x:t>
    </x:r>
  </x:si>
  <x:si>
    <x:r>
      <x:rPr>
        <x:sz val="11"/>
        <x:color rgb="FF000000"/>
        <x:rFont val="ＭＳ Ｐゴシック"/>
        <x:family val="3"/>
      </x:rPr>
      <x:t xml:space="preserve"> 960,000</x:t>
    </x:r>
    <x:r>
      <x:rPr>
        <x:sz val="11"/>
        <x:color rgb="FF000000"/>
        <x:rFont val="Noto Sans CJK SC"/>
        <x:family val="2"/>
      </x:rPr>
      <x:t xml:space="preserve">円に満た</x:t>
    </x:r>
  </x:si>
  <x:si>
    <x:r>
      <x:rPr>
        <x:sz val="11"/>
        <x:color rgb="FF000000"/>
        <x:rFont val="ＭＳ Ｐゴシック"/>
        <x:family val="3"/>
      </x:rPr>
      <x:t xml:space="preserve"> 790,000</x:t>
    </x:r>
    <x:r>
      <x:rPr>
        <x:sz val="11"/>
        <x:color rgb="FF000000"/>
        <x:rFont val="Noto Sans CJK SC"/>
        <x:family val="2"/>
      </x:rPr>
      <x:t xml:space="preserve">円を超える金額の</x:t>
    </x:r>
    <x:r>
      <x:rPr>
        <x:sz val="11"/>
        <x:color rgb="FF000000"/>
        <x:rFont val="ＭＳ Ｐゴシック"/>
        <x:family val="3"/>
      </x:rPr>
      <x:t xml:space="preserve">23.483</x:t>
    </x:r>
    <x:r>
      <x:rPr>
        <x:sz val="11"/>
        <x:color rgb="FF000000"/>
        <x:rFont val="Noto Sans CJK SC"/>
        <x:family val="2"/>
      </x:rPr>
      <x:t xml:space="preserve">％に相当する金額を加算した金額</x:t>
    </x:r>
  </x:si>
  <x:si>
    <x:r>
      <x:rPr>
        <x:sz val="11"/>
        <x:color rgb="FF000000"/>
        <x:rFont val="ＭＳ Ｐゴシック"/>
        <x:family val="3"/>
      </x:rPr>
      <x:t xml:space="preserve">960,000</x:t>
    </x:r>
    <x:r>
      <x:rPr>
        <x:sz val="11"/>
        <x:color rgb="FF000000"/>
        <x:rFont val="Noto Sans CJK SC"/>
        <x:family val="2"/>
      </x:rPr>
      <x:t xml:space="preserve">円</x:t>
    </x:r>
  </x:si>
  <x:si>
    <x:r>
      <x:rPr>
        <x:sz val="11"/>
        <x:color rgb="FF000000"/>
        <x:rFont val="ＭＳ Ｐゴシック"/>
        <x:family val="3"/>
      </x:rPr>
      <x:t xml:space="preserve"> 960,000</x:t>
    </x:r>
    <x:r>
      <x:rPr>
        <x:sz val="11"/>
        <x:color rgb="FF000000"/>
        <x:rFont val="Noto Sans CJK SC"/>
        <x:family val="2"/>
      </x:rPr>
      <x:t xml:space="preserve">円を超え</x:t>
    </x:r>
  </x:si>
  <x:si>
    <x:r>
      <x:rPr>
        <x:sz val="11"/>
        <x:color rgb="FF000000"/>
        <x:rFont val="ＭＳ Ｐゴシック"/>
        <x:family val="3"/>
      </x:rPr>
      <x:t xml:space="preserve"> 960,000</x:t>
    </x:r>
    <x:r>
      <x:rPr>
        <x:sz val="11"/>
        <x:color rgb="FF000000"/>
        <x:rFont val="Noto Sans CJK SC"/>
        <x:family val="2"/>
      </x:rPr>
      <x:t xml:space="preserve">円の場合の税額に、その月の社会保険料等控除後の給与等の金額のうち</x:t>
    </x:r>
  </x:si>
  <x:si>
    <x:r>
      <x:rPr>
        <x:sz val="11"/>
        <x:color rgb="FF000000"/>
        <x:rFont val="ＭＳ Ｐゴシック"/>
        <x:family val="3"/>
      </x:rPr>
      <x:t xml:space="preserve"> 1,710,000</x:t>
    </x:r>
    <x:r>
      <x:rPr>
        <x:sz val="11"/>
        <x:color rgb="FF000000"/>
        <x:rFont val="Noto Sans CJK SC"/>
        <x:family val="2"/>
      </x:rPr>
      <x:t xml:space="preserve">円に満た</x:t>
    </x:r>
  </x:si>
  <x:si>
    <x:r>
      <x:rPr>
        <x:sz val="11"/>
        <x:color rgb="FF000000"/>
        <x:rFont val="ＭＳ Ｐゴシック"/>
        <x:family val="3"/>
      </x:rPr>
      <x:t xml:space="preserve"> 960,000</x:t>
    </x:r>
    <x:r>
      <x:rPr>
        <x:sz val="11"/>
        <x:color rgb="FF000000"/>
        <x:rFont val="Noto Sans CJK SC"/>
        <x:family val="2"/>
      </x:rPr>
      <x:t xml:space="preserve">円を超える金額の</x:t>
    </x:r>
    <x:r>
      <x:rPr>
        <x:sz val="11"/>
        <x:color rgb="FF000000"/>
        <x:rFont val="ＭＳ Ｐゴシック"/>
        <x:family val="3"/>
      </x:rPr>
      <x:t xml:space="preserve">33.693</x:t>
    </x:r>
    <x:r>
      <x:rPr>
        <x:sz val="11"/>
        <x:color rgb="FF000000"/>
        <x:rFont val="Noto Sans CJK SC"/>
        <x:family val="2"/>
      </x:rPr>
      <x:t xml:space="preserve">％に相当する金額を加算した金額</x:t>
    </x:r>
  </x:si>
  <x:si>
    <x:r>
      <x:rPr>
        <x:sz val="11"/>
        <x:color rgb="FF000000"/>
        <x:rFont val="ＭＳ Ｐゴシック"/>
        <x:family val="3"/>
      </x:rPr>
      <x:t xml:space="preserve">1,710,000</x:t>
    </x:r>
    <x:r>
      <x:rPr>
        <x:sz val="11"/>
        <x:color rgb="FF000000"/>
        <x:rFont val="Noto Sans CJK SC"/>
        <x:family val="2"/>
      </x:rPr>
      <x:t xml:space="preserve">円</x:t>
    </x:r>
  </x:si>
  <x:si>
    <x:r>
      <x:rPr>
        <x:sz val="11"/>
        <x:color rgb="FF000000"/>
        <x:rFont val="ＭＳ Ｐゴシック"/>
        <x:family val="3"/>
      </x:rPr>
      <x:t xml:space="preserve">655,400</x:t>
    </x:r>
    <x:r>
      <x:rPr>
        <x:sz val="11"/>
        <x:color rgb="FF000000"/>
        <x:rFont val="Noto Sans CJK SC"/>
        <x:family val="2"/>
      </x:rPr>
      <x:t xml:space="preserve">円に、その月の社会保険料等控除後の給与等の金額のうち</x:t>
    </x:r>
    <x:r>
      <x:rPr>
        <x:sz val="11"/>
        <x:color rgb="FF000000"/>
        <x:rFont val="ＭＳ Ｐゴシック"/>
        <x:family val="3"/>
      </x:rPr>
      <x:t xml:space="preserve">1,710,000</x:t>
    </x:r>
    <x:r>
      <x:rPr>
        <x:sz val="11"/>
        <x:color rgb="FF000000"/>
        <x:rFont val="Noto Sans CJK SC"/>
        <x:family val="2"/>
      </x:rPr>
      <x:t xml:space="preserve">円を超える金額の</x:t>
    </x:r>
    <x:r>
      <x:rPr>
        <x:sz val="11"/>
        <x:color rgb="FF000000"/>
        <x:rFont val="ＭＳ Ｐゴシック"/>
        <x:family val="3"/>
      </x:rPr>
      <x:t xml:space="preserve">45.945</x:t>
    </x:r>
    <x:r>
      <x:rPr>
        <x:sz val="11"/>
        <x:color rgb="FF000000"/>
        <x:rFont val="Noto Sans CJK SC"/>
        <x:family val="2"/>
      </x:rPr>
      <x:t xml:space="preserve">％に相当する金額を加算した金額</x:t>
    </x:r>
  </x:si>
  <x:si>
    <x:r>
      <x:rPr>
        <x:sz val="11"/>
        <x:color rgb="FF000000"/>
        <x:rFont val="ＭＳ Ｐゴシック"/>
        <x:family val="3"/>
      </x:rPr>
      <x:t xml:space="preserve"> 1,710,000</x:t>
    </x:r>
    <x:r>
      <x:rPr>
        <x:sz val="11"/>
        <x:color rgb="FF000000"/>
        <x:rFont val="Noto Sans CJK SC"/>
        <x:family val="2"/>
      </x:rPr>
      <x:t xml:space="preserve">円を超え</x:t>
    </x:r>
  </x:si>
  <x:si>
    <x:r>
      <x:rPr>
        <x:sz val="11"/>
        <x:color rgb="FF000000"/>
        <x:rFont val="ＭＳ Ｐゴシック"/>
        <x:family val="3"/>
      </x:rPr>
      <x:t xml:space="preserve"> 1,710,000</x:t>
    </x:r>
    <x:r>
      <x:rPr>
        <x:sz val="11"/>
        <x:color rgb="FF000000"/>
        <x:rFont val="Noto Sans CJK SC"/>
        <x:family val="2"/>
      </x:rPr>
      <x:t xml:space="preserve">円の場合の税額に、その月の社会保険料等控除後の給与等の金額のうち</x:t>
    </x:r>
  </x:si>
  <x:si>
    <x:r>
      <x:rPr>
        <x:sz val="11"/>
        <x:color rgb="FF000000"/>
        <x:rFont val="ＭＳ Ｐゴシック"/>
        <x:family val="3"/>
      </x:rPr>
      <x:t xml:space="preserve"> 2,130,000</x:t>
    </x:r>
    <x:r>
      <x:rPr>
        <x:sz val="11"/>
        <x:color rgb="FF000000"/>
        <x:rFont val="Noto Sans CJK SC"/>
        <x:family val="2"/>
      </x:rPr>
      <x:t xml:space="preserve">円に満た</x:t>
    </x:r>
  </x:si>
  <x:si>
    <x:r>
      <x:rPr>
        <x:sz val="11"/>
        <x:color rgb="FF000000"/>
        <x:rFont val="ＭＳ Ｐゴシック"/>
        <x:family val="3"/>
      </x:rPr>
      <x:t xml:space="preserve"> 1,710,000</x:t>
    </x:r>
    <x:r>
      <x:rPr>
        <x:sz val="11"/>
        <x:color rgb="FF000000"/>
        <x:rFont val="Noto Sans CJK SC"/>
        <x:family val="2"/>
      </x:rPr>
      <x:t xml:space="preserve">円を超える金額の</x:t>
    </x:r>
    <x:r>
      <x:rPr>
        <x:sz val="11"/>
        <x:color rgb="FF000000"/>
        <x:rFont val="ＭＳ Ｐゴシック"/>
        <x:family val="3"/>
      </x:rPr>
      <x:t xml:space="preserve">40.84</x:t>
    </x:r>
    <x:r>
      <x:rPr>
        <x:sz val="11"/>
        <x:color rgb="FF000000"/>
        <x:rFont val="Noto Sans CJK SC"/>
        <x:family val="2"/>
      </x:rPr>
      <x:t xml:space="preserve">％に相当する金額を加算した金額</x:t>
    </x:r>
  </x:si>
  <x:si>
    <x:r>
      <x:rPr>
        <x:sz val="11"/>
        <x:color rgb="FF000000"/>
        <x:rFont val="ＭＳ Ｐゴシック"/>
        <x:family val="3"/>
      </x:rPr>
      <x:t xml:space="preserve">2,130,000</x:t>
    </x:r>
    <x:r>
      <x:rPr>
        <x:sz val="11"/>
        <x:color rgb="FF000000"/>
        <x:rFont val="Noto Sans CJK SC"/>
        <x:family val="2"/>
      </x:rPr>
      <x:t xml:space="preserve">円</x:t>
    </x:r>
  </x:si>
  <x:si>
    <x:r>
      <x:rPr>
        <x:sz val="11"/>
        <x:color rgb="FF000000"/>
        <x:rFont val="ＭＳ Ｐゴシック"/>
        <x:family val="3"/>
      </x:rPr>
      <x:t xml:space="preserve"> 2,130,000</x:t>
    </x:r>
    <x:r>
      <x:rPr>
        <x:sz val="11"/>
        <x:color rgb="FF000000"/>
        <x:rFont val="Noto Sans CJK SC"/>
        <x:family val="2"/>
      </x:rPr>
      <x:t xml:space="preserve">円を超え</x:t>
    </x:r>
  </x:si>
  <x:si>
    <x:r>
      <x:rPr>
        <x:sz val="11"/>
        <x:color rgb="FF000000"/>
        <x:rFont val="ＭＳ Ｐゴシック"/>
        <x:family val="3"/>
      </x:rPr>
      <x:t xml:space="preserve"> 2,130,000</x:t>
    </x:r>
    <x:r>
      <x:rPr>
        <x:sz val="11"/>
        <x:color rgb="FF000000"/>
        <x:rFont val="Noto Sans CJK SC"/>
        <x:family val="2"/>
      </x:rPr>
      <x:t xml:space="preserve">円の場合の税額に、その月の社会保険料等控除後の給与等の金額のうち</x:t>
    </x:r>
  </x:si>
  <x:si>
    <x:r>
      <x:rPr>
        <x:sz val="11"/>
        <x:color rgb="FF000000"/>
        <x:rFont val="ＭＳ Ｐゴシック"/>
        <x:family val="3"/>
      </x:rPr>
      <x:t xml:space="preserve"> 2,170,000</x:t>
    </x:r>
    <x:r>
      <x:rPr>
        <x:sz val="11"/>
        <x:color rgb="FF000000"/>
        <x:rFont val="Noto Sans CJK SC"/>
        <x:family val="2"/>
      </x:rPr>
      <x:t xml:space="preserve">円に満た</x:t>
    </x:r>
  </x:si>
  <x:si>
    <x:r>
      <x:rPr>
        <x:sz val="11"/>
        <x:color rgb="FF000000"/>
        <x:rFont val="ＭＳ Ｐゴシック"/>
        <x:family val="3"/>
      </x:rPr>
      <x:t xml:space="preserve"> 2,130,000</x:t>
    </x:r>
    <x:r>
      <x:rPr>
        <x:sz val="11"/>
        <x:color rgb="FF000000"/>
        <x:rFont val="Noto Sans CJK SC"/>
        <x:family val="2"/>
      </x:rPr>
      <x:t xml:space="preserve">円を超える金額の</x:t>
    </x:r>
    <x:r>
      <x:rPr>
        <x:sz val="11"/>
        <x:color rgb="FF000000"/>
        <x:rFont val="ＭＳ Ｐゴシック"/>
        <x:family val="3"/>
      </x:rPr>
      <x:t xml:space="preserve">40.84</x:t>
    </x:r>
    <x:r>
      <x:rPr>
        <x:sz val="11"/>
        <x:color rgb="FF000000"/>
        <x:rFont val="Noto Sans CJK SC"/>
        <x:family val="2"/>
      </x:rPr>
      <x:t xml:space="preserve">％に相当する金額を加算した金額</x:t>
    </x:r>
  </x:si>
  <x:si>
    <x:r>
      <x:rPr>
        <x:sz val="11"/>
        <x:color rgb="FF000000"/>
        <x:rFont val="ＭＳ Ｐゴシック"/>
        <x:family val="3"/>
      </x:rPr>
      <x:t xml:space="preserve">2,170,000</x:t>
    </x:r>
    <x:r>
      <x:rPr>
        <x:sz val="11"/>
        <x:color rgb="FF000000"/>
        <x:rFont val="Noto Sans CJK SC"/>
        <x:family val="2"/>
      </x:rPr>
      <x:t xml:space="preserve">円</x:t>
    </x:r>
  </x:si>
  <x:si>
    <x:r>
      <x:rPr>
        <x:sz val="11"/>
        <x:color rgb="FF000000"/>
        <x:rFont val="ＭＳ Ｐゴシック"/>
        <x:family val="3"/>
      </x:rPr>
      <x:t xml:space="preserve"> 2,170,000</x:t>
    </x:r>
    <x:r>
      <x:rPr>
        <x:sz val="11"/>
        <x:color rgb="FF000000"/>
        <x:rFont val="Noto Sans CJK SC"/>
        <x:family val="2"/>
      </x:rPr>
      <x:t xml:space="preserve">円を超え</x:t>
    </x:r>
  </x:si>
  <x:si>
    <x:r>
      <x:rPr>
        <x:sz val="11"/>
        <x:color rgb="FF000000"/>
        <x:rFont val="ＭＳ Ｐゴシック"/>
        <x:family val="3"/>
      </x:rPr>
      <x:t xml:space="preserve"> 2,170,000</x:t>
    </x:r>
    <x:r>
      <x:rPr>
        <x:sz val="11"/>
        <x:color rgb="FF000000"/>
        <x:rFont val="Noto Sans CJK SC"/>
        <x:family val="2"/>
      </x:rPr>
      <x:t xml:space="preserve">円の場合の税額に、その月の社会保険料等控除後の給与等の金額のうち</x:t>
    </x:r>
  </x:si>
  <x:si>
    <x:r>
      <x:rPr>
        <x:sz val="11"/>
        <x:color rgb="FF000000"/>
        <x:rFont val="ＭＳ Ｐゴシック"/>
        <x:family val="3"/>
      </x:rPr>
      <x:t xml:space="preserve"> 2,210,000</x:t>
    </x:r>
    <x:r>
      <x:rPr>
        <x:sz val="11"/>
        <x:color rgb="FF000000"/>
        <x:rFont val="Noto Sans CJK SC"/>
        <x:family val="2"/>
      </x:rPr>
      <x:t xml:space="preserve">円に満た</x:t>
    </x:r>
  </x:si>
  <x:si>
    <x:r>
      <x:rPr>
        <x:sz val="11"/>
        <x:color rgb="FF000000"/>
        <x:rFont val="ＭＳ Ｐゴシック"/>
        <x:family val="3"/>
      </x:rPr>
      <x:t xml:space="preserve"> 2,170,000</x:t>
    </x:r>
    <x:r>
      <x:rPr>
        <x:sz val="11"/>
        <x:color rgb="FF000000"/>
        <x:rFont val="Noto Sans CJK SC"/>
        <x:family val="2"/>
      </x:rPr>
      <x:t xml:space="preserve">円を超える金額の</x:t>
    </x:r>
    <x:r>
      <x:rPr>
        <x:sz val="11"/>
        <x:color rgb="FF000000"/>
        <x:rFont val="ＭＳ Ｐゴシック"/>
        <x:family val="3"/>
      </x:rPr>
      <x:t xml:space="preserve">40.84</x:t>
    </x:r>
    <x:r>
      <x:rPr>
        <x:sz val="11"/>
        <x:color rgb="FF000000"/>
        <x:rFont val="Noto Sans CJK SC"/>
        <x:family val="2"/>
      </x:rPr>
      <x:t xml:space="preserve">％に相当する金額を加算した金額</x:t>
    </x:r>
  </x:si>
  <x:si>
    <x:r>
      <x:rPr>
        <x:sz val="11"/>
        <x:color rgb="FF000000"/>
        <x:rFont val="ＭＳ Ｐゴシック"/>
        <x:family val="3"/>
      </x:rPr>
      <x:t xml:space="preserve">2,210,000</x:t>
    </x:r>
    <x:r>
      <x:rPr>
        <x:sz val="11"/>
        <x:color rgb="FF000000"/>
        <x:rFont val="Noto Sans CJK SC"/>
        <x:family val="2"/>
      </x:rPr>
      <x:t xml:space="preserve">円</x:t>
    </x:r>
  </x:si>
  <x:si>
    <x:r>
      <x:rPr>
        <x:sz val="11"/>
        <x:color rgb="FF000000"/>
        <x:rFont val="ＭＳ Ｐゴシック"/>
        <x:family val="3"/>
      </x:rPr>
      <x:t xml:space="preserve"> 2,210,000</x:t>
    </x:r>
    <x:r>
      <x:rPr>
        <x:sz val="11"/>
        <x:color rgb="FF000000"/>
        <x:rFont val="Noto Sans CJK SC"/>
        <x:family val="2"/>
      </x:rPr>
      <x:t xml:space="preserve">円を超え</x:t>
    </x:r>
  </x:si>
  <x:si>
    <x:r>
      <x:rPr>
        <x:sz val="11"/>
        <x:color rgb="FF000000"/>
        <x:rFont val="ＭＳ Ｐゴシック"/>
        <x:family val="3"/>
      </x:rPr>
      <x:t xml:space="preserve"> 2,210,000</x:t>
    </x:r>
    <x:r>
      <x:rPr>
        <x:sz val="11"/>
        <x:color rgb="FF000000"/>
        <x:rFont val="Noto Sans CJK SC"/>
        <x:family val="2"/>
      </x:rPr>
      <x:t xml:space="preserve">円の場合の税額に、その月の社会保険料等控除後の給与等の金額のうち</x:t>
    </x:r>
  </x:si>
  <x:si>
    <x:r>
      <x:rPr>
        <x:sz val="11"/>
        <x:color rgb="FF000000"/>
        <x:rFont val="ＭＳ Ｐゴシック"/>
        <x:family val="3"/>
      </x:rPr>
      <x:t xml:space="preserve"> 2,250,000</x:t>
    </x:r>
    <x:r>
      <x:rPr>
        <x:sz val="11"/>
        <x:color rgb="FF000000"/>
        <x:rFont val="Noto Sans CJK SC"/>
        <x:family val="2"/>
      </x:rPr>
      <x:t xml:space="preserve">円に満た</x:t>
    </x:r>
  </x:si>
  <x:si>
    <x:r>
      <x:rPr>
        <x:sz val="11"/>
        <x:color rgb="FF000000"/>
        <x:rFont val="ＭＳ Ｐゴシック"/>
        <x:family val="3"/>
      </x:rPr>
      <x:t xml:space="preserve"> 2,210,000</x:t>
    </x:r>
    <x:r>
      <x:rPr>
        <x:sz val="11"/>
        <x:color rgb="FF000000"/>
        <x:rFont val="Noto Sans CJK SC"/>
        <x:family val="2"/>
      </x:rPr>
      <x:t xml:space="preserve">円を超える金額の</x:t>
    </x:r>
    <x:r>
      <x:rPr>
        <x:sz val="11"/>
        <x:color rgb="FF000000"/>
        <x:rFont val="ＭＳ Ｐゴシック"/>
        <x:family val="3"/>
      </x:rPr>
      <x:t xml:space="preserve">40.84</x:t>
    </x:r>
    <x:r>
      <x:rPr>
        <x:sz val="11"/>
        <x:color rgb="FF000000"/>
        <x:rFont val="Noto Sans CJK SC"/>
        <x:family val="2"/>
      </x:rPr>
      <x:t xml:space="preserve">％に相当する金額を加算した金額</x:t>
    </x:r>
  </x:si>
  <x:si>
    <x:r>
      <x:rPr>
        <x:sz val="11"/>
        <x:color rgb="FF000000"/>
        <x:rFont val="ＭＳ Ｐゴシック"/>
        <x:family val="3"/>
      </x:rPr>
      <x:t xml:space="preserve">2,250,000</x:t>
    </x:r>
    <x:r>
      <x:rPr>
        <x:sz val="11"/>
        <x:color rgb="FF000000"/>
        <x:rFont val="Noto Sans CJK SC"/>
        <x:family val="2"/>
      </x:rPr>
      <x:t xml:space="preserve">円</x:t>
    </x:r>
  </x:si>
  <x:si>
    <x:r>
      <x:rPr>
        <x:sz val="11"/>
        <x:color rgb="FF000000"/>
        <x:rFont val="ＭＳ Ｐゴシック"/>
        <x:family val="3"/>
      </x:rPr>
      <x:t xml:space="preserve"> 2,250,000</x:t>
    </x:r>
    <x:r>
      <x:rPr>
        <x:sz val="11"/>
        <x:color rgb="FF000000"/>
        <x:rFont val="Noto Sans CJK SC"/>
        <x:family val="2"/>
      </x:rPr>
      <x:t xml:space="preserve">円を超え</x:t>
    </x:r>
  </x:si>
  <x:si>
    <x:r>
      <x:rPr>
        <x:sz val="11"/>
        <x:color rgb="FF000000"/>
        <x:rFont val="ＭＳ Ｐゴシック"/>
        <x:family val="3"/>
      </x:rPr>
      <x:t xml:space="preserve"> 2,250,000</x:t>
    </x:r>
    <x:r>
      <x:rPr>
        <x:sz val="11"/>
        <x:color rgb="FF000000"/>
        <x:rFont val="Noto Sans CJK SC"/>
        <x:family val="2"/>
      </x:rPr>
      <x:t xml:space="preserve">円の場合の税額に、その月の社会保険料等控除後の給与等の金額のうち</x:t>
    </x:r>
  </x:si>
  <x:si>
    <x:r>
      <x:rPr>
        <x:sz val="11"/>
        <x:color rgb="FF000000"/>
        <x:rFont val="ＭＳ Ｐゴシック"/>
        <x:family val="3"/>
      </x:rPr>
      <x:t xml:space="preserve"> 3,500,000</x:t>
    </x:r>
    <x:r>
      <x:rPr>
        <x:sz val="11"/>
        <x:color rgb="FF000000"/>
        <x:rFont val="Noto Sans CJK SC"/>
        <x:family val="2"/>
      </x:rPr>
      <x:t xml:space="preserve">円に満た</x:t>
    </x:r>
  </x:si>
  <x:si>
    <x:r>
      <x:rPr>
        <x:sz val="11"/>
        <x:color rgb="FF000000"/>
        <x:rFont val="ＭＳ Ｐゴシック"/>
        <x:family val="3"/>
      </x:rPr>
      <x:t xml:space="preserve"> 2,250,000</x:t>
    </x:r>
    <x:r>
      <x:rPr>
        <x:sz val="11"/>
        <x:color rgb="FF000000"/>
        <x:rFont val="Noto Sans CJK SC"/>
        <x:family val="2"/>
      </x:rPr>
      <x:t xml:space="preserve">円を超える金額の</x:t>
    </x:r>
    <x:r>
      <x:rPr>
        <x:sz val="11"/>
        <x:color rgb="FF000000"/>
        <x:rFont val="ＭＳ Ｐゴシック"/>
        <x:family val="3"/>
      </x:rPr>
      <x:t xml:space="preserve">40.84</x:t>
    </x:r>
    <x:r>
      <x:rPr>
        <x:sz val="11"/>
        <x:color rgb="FF000000"/>
        <x:rFont val="Noto Sans CJK SC"/>
        <x:family val="2"/>
      </x:rPr>
      <x:t xml:space="preserve">％に相当する金額を加算した金額</x:t>
    </x:r>
  </x:si>
  <x:si>
    <x:r>
      <x:rPr>
        <x:sz val="11"/>
        <x:rFont val="ＭＳ Ｐゴシック"/>
        <x:family val="3"/>
      </x:rPr>
      <x:t xml:space="preserve">655,400</x:t>
    </x:r>
    <x:r>
      <x:rPr>
        <x:sz val="11"/>
        <x:rFont val="Noto Sans CJK SC"/>
        <x:family val="2"/>
      </x:rPr>
      <x:t xml:space="preserve">円に、その月の社会保険料等控除後の給与等の金額のうち</x:t>
    </x:r>
    <x:r>
      <x:rPr>
        <x:sz val="11"/>
        <x:rFont val="ＭＳ Ｐゴシック"/>
        <x:family val="3"/>
      </x:rPr>
      <x:t xml:space="preserve">1,710,000</x:t>
    </x:r>
    <x:r>
      <x:rPr>
        <x:sz val="11"/>
        <x:rFont val="Noto Sans CJK SC"/>
        <x:family val="2"/>
      </x:rPr>
      <x:t xml:space="preserve">円を超える金額の</x:t>
    </x:r>
    <x:r>
      <x:rPr>
        <x:sz val="11"/>
        <x:rFont val="ＭＳ Ｐゴシック"/>
        <x:family val="3"/>
      </x:rPr>
      <x:t xml:space="preserve">45.945</x:t>
    </x:r>
    <x:r>
      <x:rPr>
        <x:sz val="11"/>
        <x:rFont val="Noto Sans CJK SC"/>
        <x:family val="2"/>
      </x:rPr>
      <x:t xml:space="preserve">％に相当する金額を加算した金額</x:t>
    </x:r>
  </x:si>
  <x:si>
    <x:r>
      <x:rPr>
        <x:sz val="11"/>
        <x:color rgb="FF000000"/>
        <x:rFont val="ＭＳ Ｐゴシック"/>
        <x:family val="3"/>
      </x:rPr>
      <x:t xml:space="preserve">3,500,000</x:t>
    </x:r>
    <x:r>
      <x:rPr>
        <x:sz val="11"/>
        <x:color rgb="FF000000"/>
        <x:rFont val="Noto Sans CJK SC"/>
        <x:family val="2"/>
      </x:rPr>
      <x:t xml:space="preserve">円</x:t>
    </x:r>
  </x:si>
  <x:si>
    <x:r>
      <x:rPr>
        <x:sz val="11"/>
        <x:color rgb="FF000000"/>
        <x:rFont val="ＭＳ Ｐゴシック"/>
        <x:family val="3"/>
      </x:rPr>
      <x:t xml:space="preserve"> 3,500,000</x:t>
    </x:r>
    <x:r>
      <x:rPr>
        <x:sz val="11"/>
        <x:color rgb="FF000000"/>
        <x:rFont val="Noto Sans CJK SC"/>
        <x:family val="2"/>
      </x:rPr>
      <x:t xml:space="preserve">円を超え</x:t>
    </x:r>
  </x:si>
  <x:si>
    <x:r>
      <x:rPr>
        <x:sz val="11"/>
        <x:color rgb="FF000000"/>
        <x:rFont val="ＭＳ Ｐゴシック"/>
        <x:family val="3"/>
      </x:rPr>
      <x:t xml:space="preserve"> 3,500,000</x:t>
    </x:r>
    <x:r>
      <x:rPr>
        <x:sz val="11"/>
        <x:color rgb="FF000000"/>
        <x:rFont val="Noto Sans CJK SC"/>
        <x:family val="2"/>
      </x:rPr>
      <x:t xml:space="preserve">円の場合の税額に、その月の社会保険料等控除後の給与等の金額のうち</x:t>
    </x:r>
  </x:si>
  <x:si>
    <x:t xml:space="preserve"> る金額</x:t>
  </x:si>
  <x:si>
    <x:r>
      <x:rPr>
        <x:sz val="11"/>
        <x:color rgb="FF000000"/>
        <x:rFont val="ＭＳ Ｐゴシック"/>
        <x:family val="3"/>
      </x:rPr>
      <x:t xml:space="preserve"> 3,500,000</x:t>
    </x:r>
    <x:r>
      <x:rPr>
        <x:sz val="11"/>
        <x:color rgb="FF000000"/>
        <x:rFont val="Noto Sans CJK SC"/>
        <x:family val="2"/>
      </x:rPr>
      <x:t xml:space="preserve">円を超える金額の</x:t>
    </x:r>
    <x:r>
      <x:rPr>
        <x:sz val="11"/>
        <x:color rgb="FF000000"/>
        <x:rFont val="ＭＳ Ｐゴシック"/>
        <x:family val="3"/>
      </x:rPr>
      <x:t xml:space="preserve">45.945</x:t>
    </x:r>
    <x:r>
      <x:rPr>
        <x:sz val="11"/>
        <x:color rgb="FF000000"/>
        <x:rFont val="Noto Sans CJK SC"/>
        <x:family val="2"/>
      </x:rPr>
      <x:t xml:space="preserve">％に相当する金額を加算した金額</x:t>
    </x:r>
  </x:si>
  <x:si>
    <x:r>
      <x:rPr>
        <x:sz val="10"/>
        <x:color rgb="FF000000"/>
        <x:rFont val="Noto Sans CJK SC"/>
        <x:family val="2"/>
      </x:rPr>
      <x:t xml:space="preserve">従たる給与についての扶養控除等申告書が提出されている場合には、当該申告書に記載された扶養親族等の数に応じ、扶養親族等１人ごとに</x:t>
    </x:r>
    <x:r>
      <x:rPr>
        <x:sz val="10"/>
        <x:color rgb="FF000000"/>
        <x:rFont val="ＭＳ Ｐゴシック"/>
        <x:family val="3"/>
      </x:rPr>
      <x:t xml:space="preserve">1,610</x:t>
    </x:r>
    <x:r>
      <x:rPr>
        <x:sz val="10"/>
        <x:color rgb="FF000000"/>
        <x:rFont val="Noto Sans CJK SC"/>
        <x:family val="2"/>
      </x:rPr>
      <x:t xml:space="preserve">円を、上の各欄によって求めた税額から控除した金額</x:t>
    </x:r>
  </x:si>
  <x:si>
    <x:t xml:space="preserve">　扶養親族等の数が７人を超える場合には、扶養親族等の数が７人の場合の税額から、その７人を超える</x:t>
  </x:si>
  <x:si>
    <x:r>
      <x:rPr>
        <x:sz val="11"/>
        <x:color rgb="FF000000"/>
        <x:rFont val="Noto Sans CJK SC"/>
        <x:family val="2"/>
      </x:rPr>
      <x:t xml:space="preserve">　１人ごとに</x:t>
    </x:r>
    <x:r>
      <x:rPr>
        <x:sz val="11"/>
        <x:color rgb="FF000000"/>
        <x:rFont val="ＭＳ Ｐゴシック"/>
        <x:family val="3"/>
      </x:rPr>
      <x:t xml:space="preserve">1,610</x:t>
    </x:r>
    <x:r>
      <x:rPr>
        <x:sz val="11"/>
        <x:color rgb="FF000000"/>
        <x:rFont val="Noto Sans CJK SC"/>
        <x:family val="2"/>
      </x:rPr>
      <x:t xml:space="preserve">円を控除した金額</x:t>
    </x:r>
  </x:si>
  <x:si>
    <x:r>
      <x:rPr>
        <x:sz val="8"/>
        <x:rFont val="ＭＳ 明朝"/>
        <x:family val="1"/>
      </x:rPr>
      <x:t xml:space="preserve">(</x:t>
    </x:r>
    <x:r>
      <x:rPr>
        <x:sz val="8"/>
        <x:rFont val="Noto Sans CJK SC"/>
        <x:family val="2"/>
      </x:rPr>
      <x:t xml:space="preserve">注</x:t>
    </x:r>
    <x:r>
      <x:rPr>
        <x:sz val="8"/>
        <x:rFont val="ＭＳ 明朝"/>
        <x:family val="1"/>
      </x:rPr>
      <x:t xml:space="preserve">)  </x:t>
    </x:r>
    <x:r>
      <x:rPr>
        <x:sz val="8"/>
        <x:rFont val="Noto Sans CJK SC"/>
        <x:family val="2"/>
      </x:rPr>
      <x:t xml:space="preserve">この表における用語の意味は、次のとおりです。</x:t>
    </x:r>
  </x:si>
  <x:si>
    <x:t xml:space="preserve">　１　「扶養親族等」とは、源泉控除対象配偶者及び源泉控除対象親族をいいます。</x:t>
  </x:si>
  <x:si>
    <x:r>
      <x:rPr>
        <x:sz val="8"/>
        <x:rFont val="Noto Sans CJK SC"/>
        <x:family val="2"/>
      </x:rPr>
      <x:t xml:space="preserve">　２　「社会保険料等」とは、所得税法第</x:t>
    </x:r>
    <x:r>
      <x:rPr>
        <x:sz val="8"/>
        <x:rFont val="ＭＳ 明朝"/>
        <x:family val="1"/>
      </x:rPr>
      <x:t xml:space="preserve">74</x:t>
    </x:r>
    <x:r>
      <x:rPr>
        <x:sz val="8"/>
        <x:rFont val="Noto Sans CJK SC"/>
        <x:family val="2"/>
      </x:rPr>
      <x:t xml:space="preserve">条第２項に規定する社会保険料及び同法第</x:t>
    </x:r>
    <x:r>
      <x:rPr>
        <x:sz val="8"/>
        <x:rFont val="ＭＳ 明朝"/>
        <x:family val="1"/>
      </x:rPr>
      <x:t xml:space="preserve">75</x:t>
    </x:r>
    <x:r>
      <x:rPr>
        <x:sz val="8"/>
        <x:rFont val="Noto Sans CJK SC"/>
        <x:family val="2"/>
      </x:rPr>
      <x:t xml:space="preserve">条第２項に規定する小規模企業共済等掛金をいいます。</x:t>
    </x:r>
  </x:si>
  <x:si>
    <x:r>
      <x:rPr>
        <x:sz val="8"/>
        <x:rFont val="ＭＳ 明朝"/>
        <x:family val="1"/>
      </x:rPr>
      <x:t xml:space="preserve">(</x:t>
    </x:r>
    <x:r>
      <x:rPr>
        <x:sz val="8"/>
        <x:rFont val="Noto Sans CJK SC"/>
        <x:family val="2"/>
      </x:rPr>
      <x:t xml:space="preserve">備考）  税額の求め方は、次のとおりです。</x:t>
    </x:r>
  </x:si>
  <x:si>
    <x:t xml:space="preserve">　１　「給与所得者の扶養控除等申告書」（以下この表において「扶養控除等申告書」といいます。）の提出があった人</x:t>
  </x:si>
  <x:si>
    <x:t xml:space="preserve">　　⑴  まず、その人のその月の給与等の金額から、その給与等の金額から控除される社会保険料等の金額を控除した金額を求めます。</x:t>
  </x:si>
  <x:si>
    <x:t xml:space="preserve">    ⑵  次に、扶養控除等申告書により申告された扶養親族等（その申告書に記載がされていないものとされる源泉控除対象配偶者及び源泉控除対象親族を除</x:t>
  </x:si>
  <x:si>
    <x:t xml:space="preserve">　　　きます。また、扶養親族等が非居住者である親族（以下この表において「国外居住親族」といいます。）である場合には、親族に該当する旨を証する書</x:t>
  </x:si>
  <x:si>
    <x:r>
      <x:rPr>
        <x:sz val="8"/>
        <x:rFont val="Noto Sans CJK SC"/>
        <x:family val="2"/>
      </x:rPr>
      <x:t xml:space="preserve">　　　類（その国外居住親族である扶養親族等が年齢</x:t>
    </x:r>
    <x:r>
      <x:rPr>
        <x:sz val="8"/>
        <x:rFont val="ＭＳ 明朝"/>
        <x:family val="1"/>
      </x:rPr>
      <x:t xml:space="preserve">30</x:t>
    </x:r>
    <x:r>
      <x:rPr>
        <x:sz val="8"/>
        <x:rFont val="Noto Sans CJK SC"/>
        <x:family val="2"/>
      </x:rPr>
      <x:t xml:space="preserve">歳以上</x:t>
    </x:r>
    <x:r>
      <x:rPr>
        <x:sz val="8"/>
        <x:rFont val="ＭＳ 明朝"/>
        <x:family val="1"/>
      </x:rPr>
      <x:t xml:space="preserve">70</x:t>
    </x:r>
    <x:r>
      <x:rPr>
        <x:sz val="8"/>
        <x:rFont val="Noto Sans CJK SC"/>
        <x:family val="2"/>
      </x:rPr>
      <x:t xml:space="preserve">歳未満の控除対象扶養親族であり、かつ、留学により国内に住所及び居所を有しなくなった人</x:t>
    </x:r>
  </x:si>
  <x:si>
    <x:t xml:space="preserve">　　　である場合には、親族に該当する旨を証する書類及び留学により国内に住所及び居所を有しなくなった人に該当する旨を証する書類。２において同じで</x:t>
  </x:si>
  <x:si>
    <x:t xml:space="preserve">　　　す。）がその申告書に添付され、又はその申告書の提出の際に提示された扶養親族等に限ります。）の数が７人以下である場合には、⑴により求めた金</x:t>
  </x:si>
  <x:si>
    <x:t xml:space="preserve">      額に応じて「その月の社会保険料等控除後の給与等の金額」欄の該当する行を求め、その行と扶養親族等の数に応じた甲欄の該当欄との交わるところに</x:t>
  </x:si>
  <x:si>
    <x:t xml:space="preserve">　　　記載されている金額を求めます。これが求める税額です。</x:t>
  </x:si>
  <x:si>
    <x:t xml:space="preserve">    ⑶　扶養控除等申告書により申告された扶養親族等の数が７人を超える場合には、⑴により求めた金額に応じて、扶養親族等の数が７人であるものとして</x:t>
  </x:si>
  <x:si>
    <x:r>
      <x:rPr>
        <x:sz val="8"/>
        <x:rFont val="Noto Sans CJK SC"/>
        <x:family val="2"/>
      </x:rPr>
      <x:t xml:space="preserve">      て⑵により求めた税額から、扶養親族等の数が７人を超える１人ごとに</x:t>
    </x:r>
    <x:r>
      <x:rPr>
        <x:sz val="8"/>
        <x:rFont val="ＭＳ 明朝"/>
        <x:family val="1"/>
      </x:rPr>
      <x:t xml:space="preserve">1,610</x:t>
    </x:r>
    <x:r>
      <x:rPr>
        <x:sz val="8"/>
        <x:rFont val="Noto Sans CJK SC"/>
        <x:family val="2"/>
      </x:rPr>
      <x:t xml:space="preserve">円を控除した金額を求めます。これが求める税額です。</x:t>
    </x:r>
  </x:si>
  <x:si>
    <x:t xml:space="preserve">    ⑷　⑵及び⑶の場合において、扶養控除等申告書にその人が障害者（特別障害者を含みます。以下この表において同じです。）、寡婦、ひとり親又は勤労</x:t>
  </x:si>
  <x:si>
    <x:t xml:space="preserve">      学生に該当する旨の記載があるときは、扶養親族等の数にこれらの一に該当するごとに１人を加算した数を、扶養控除等申告書にその人の同一生計配偶</x:t>
  </x:si>
  <x:si>
    <x:t xml:space="preserve">      者又は扶養親族のうちに障害者又は同居特別障害者（障害者又は同居特別障害者が国外居住親族である場合には、親族に該当する旨を証する書類がその</x:t>
  </x:si>
  <x:si>
    <x:t xml:space="preserve">　　　申告書に添付され、又はその申告書の提出の際に提示された障害者又は同居特別障害者に限ります。）に該当する人がいる旨の記載があるときは、扶養</x:t>
  </x:si>
  <x:si>
    <x:r>
      <x:rPr>
        <x:sz val="8"/>
        <x:rFont val="Noto Sans CJK SC"/>
        <x:family val="2"/>
      </x:rPr>
      <x:t xml:space="preserve">　　　親族等の数にこれらの一に該当するごとに１人を加算した数を、それぞれ</x:t>
    </x:r>
    <x:r>
      <x:rPr>
        <x:sz val="8"/>
        <x:rFont val="ＭＳ 明朝"/>
        <x:family val="1"/>
      </x:rPr>
      <x:t xml:space="preserve">(2)</x:t>
    </x:r>
    <x:r>
      <x:rPr>
        <x:sz val="8"/>
        <x:rFont val="Noto Sans CJK SC"/>
        <x:family val="2"/>
      </x:rPr>
      <x:t xml:space="preserve">及び</x:t>
    </x:r>
    <x:r>
      <x:rPr>
        <x:sz val="8"/>
        <x:rFont val="ＭＳ 明朝"/>
        <x:family val="1"/>
      </x:rPr>
      <x:t xml:space="preserve">(3)</x:t>
    </x:r>
    <x:r>
      <x:rPr>
        <x:sz val="8"/>
        <x:rFont val="Noto Sans CJK SC"/>
        <x:family val="2"/>
      </x:rPr>
      <x:t xml:space="preserve">の扶養親族等の数とします。</x:t>
    </x:r>
  </x:si>
  <x:si>
    <x:t xml:space="preserve">　２  扶養控除等申告書の提出がない人（「従たる給与についての扶養控除等申告書」の提出があった人を含みます。）</x:t>
  </x:si>
  <x:si>
    <x:t xml:space="preserve">　　　その人のその月の給与等の金額から、その給与等の金額から控除される社会保険料等の金額を控除し、その控除後の金額に応じた「その月の社会保険料</x:t>
  </x:si>
  <x:si>
    <x:t xml:space="preserve">　　等控除後の給与等の金額」欄の該当する行と乙欄との交わるところに記載されている金額（「従たる給与についての扶養控除等申告書」の提出があった場</x:t>
  </x:si>
  <x:si>
    <x:t xml:space="preserve">　　合には、その申告書により申告された扶養親族等（その申告書に記載がされていないものとされる源泉控除対象配偶者及び源泉控除対象親族を除きます。</x:t>
  </x:si>
  <x:si>
    <x:t xml:space="preserve">　　また、扶養親族等が国外居住親族である場合には、親族に該当する旨を証する書類がその申告書に添付され、又はその申告書の提出の際に提示された扶養</x:t>
  </x:si>
  <x:si>
    <x:r>
      <x:rPr>
        <x:sz val="8"/>
        <x:rFont val="Noto Sans CJK SC"/>
        <x:family val="2"/>
      </x:rPr>
      <x:t xml:space="preserve">　　親族等に限ります。）の数に応じ、扶養親族等１人ごとに</x:t>
    </x:r>
    <x:r>
      <x:rPr>
        <x:sz val="8"/>
        <x:rFont val="ＭＳ 明朝"/>
        <x:family val="1"/>
      </x:rPr>
      <x:t xml:space="preserve">1,610</x:t>
    </x:r>
    <x:r>
      <x:rPr>
        <x:sz val="8"/>
        <x:rFont val="Noto Sans CJK SC"/>
        <x:family val="2"/>
      </x:rPr>
      <x:t xml:space="preserve">円を控除した金額）を求めます。これが求める税額です。</x:t>
    </x:r>
  </x:si>
</x:sst>
</file>

<file path=xl/styles.xml><?xml version="1.0" encoding="utf-8"?>
<x:styleSheet xmlns:x="http://schemas.openxmlformats.org/spreadsheetml/2006/main">
  <x:numFmts count="6">
    <x:numFmt numFmtId="164" formatCode="General"/>
    <x:numFmt numFmtId="165" formatCode="#,##0"/>
    <x:numFmt numFmtId="166" formatCode="0"/>
    <x:numFmt numFmtId="167" formatCode="[$-409]#,##0_);[RED]\(#,##0\)"/>
    <x:numFmt numFmtId="200" formatCode="0.0%"/>
    <x:numFmt numFmtId="201" formatCode="0.000%"/>
  </x:numFmts>
  <x:fonts count="25">
    <x:font>
      <x:sz val="11"/>
      <x:name val="ＭＳ Ｐゴシック"/>
    </x:font>
    <x:font>
      <x:sz val="10"/>
      <x:name val="Arial"/>
    </x:font>
    <x:font>
      <x:sz val="10"/>
      <x:name val="Arial"/>
    </x:font>
    <x:font>
      <x:sz val="10"/>
      <x:name val="Arial"/>
    </x:font>
    <x:font>
      <x:sz val="9"/>
      <x:color rgb="FFCCFFFF"/>
      <x:name val="明朝"/>
    </x:font>
    <x:font>
      <x:sz val="11"/>
      <x:color rgb="FF000000"/>
      <x:name val="ＭＳ Ｐゴシック"/>
    </x:font>
    <x:font>
      <x:sz val="14"/>
      <x:name val="Noto Sans CJK SC"/>
    </x:font>
    <x:font>
      <x:sz val="14"/>
      <x:color rgb="FFFF0000"/>
      <x:name val="Noto Sans CJK SC"/>
    </x:font>
    <x:font>
      <x:b/>
      <x:sz val="14"/>
      <x:name val="ＭＳ Ｐゴシック"/>
    </x:font>
    <x:font>
      <x:b/>
      <x:sz val="14"/>
      <x:name val="Noto Sans CJK SC"/>
    </x:font>
    <x:font>
      <x:sz val="14"/>
      <x:name val="ＭＳ Ｐゴシック"/>
    </x:font>
    <x:font>
      <x:sz val="11"/>
      <x:name val="Noto Sans CJK SC"/>
    </x:font>
    <x:font>
      <x:sz val="11"/>
      <x:name val="ＭＳ 明朝"/>
    </x:font>
    <x:font>
      <x:sz val="8"/>
      <x:name val="Noto Sans CJK SC"/>
    </x:font>
    <x:font>
      <x:sz val="10"/>
      <x:name val="Noto Sans CJK SC"/>
    </x:font>
    <x:font>
      <x:sz val="10"/>
      <x:name val="ＭＳ Ｐゴシック"/>
    </x:font>
    <x:font>
      <x:sz val="8"/>
      <x:color rgb="FF000000"/>
      <x:name val="ＭＳ 明朝"/>
    </x:font>
    <x:font>
      <x:sz val="11"/>
      <x:color rgb="FF000000"/>
      <x:name val="Noto Sans CJK SC"/>
    </x:font>
    <x:font>
      <x:sz val="8"/>
      <x:color rgb="FF000000"/>
      <x:name val="Noto Sans CJK SC"/>
    </x:font>
    <x:font>
      <x:sz val="10"/>
      <x:color rgb="FF000000"/>
      <x:name val="Noto Sans CJK SC"/>
    </x:font>
    <x:font>
      <x:sz val="10"/>
      <x:color rgb="FF000000"/>
      <x:name val="ＭＳ Ｐゴシック"/>
    </x:font>
    <x:font>
      <x:sz val="8"/>
      <x:name val="ＭＳ 明朝"/>
    </x:font>
    <x:font>
      <x:b/>
      <x:sz val="16"/>
      <x:color rgb="FFFFFFFF"/>
      <x:name val="ＭＳ Ｐゴシック"/>
    </x:font>
    <x:font>
      <x:sz val="11"/>
      <x:color rgb="FF333333"/>
      <x:name val="ＭＳ Ｐゴシック"/>
    </x:font>
    <x:font>
      <x:b/>
      <x:sz val="11"/>
      <x:color rgb="FFFFFFFF"/>
      <x:name val="ＭＳ Ｐゴシック"/>
    </x:font>
  </x:fonts>
  <x:fills count="6">
    <x:fill>
      <x:patternFill patternType="none"/>
    </x:fill>
    <x:fill>
      <x:patternFill patternType="gray125"/>
    </x:fill>
    <x:fill>
      <x:patternFill patternType="solid">
        <x:fgColor rgb="FF400000"/>
      </x:patternFill>
    </x:fill>
    <x:fill>
      <x:patternFill patternType="solid">
        <x:fgColor rgb="FF0F5B78"/>
      </x:patternFill>
    </x:fill>
    <x:fill>
      <x:patternFill patternType="solid">
        <x:fgColor rgb="FFEAF4F8"/>
      </x:patternFill>
    </x:fill>
    <x:fill>
      <x:patternFill patternType="solid">
        <x:fgColor rgb="FF1F4E78"/>
      </x:patternFill>
    </x:fill>
  </x:fills>
  <x:borders count="74">
    <x:border diagonalUp="0" diagonalDown="0"/>
    <x:border diagonalUp="0" diagonalDown="0">
      <x:bottom style="medium"/>
    </x:border>
    <x:border diagonalUp="0" diagonalDown="0">
      <x:left style="medium"/>
      <x:top style="medium"/>
    </x:border>
    <x:border diagonalUp="0" diagonalDown="0">
      <x:right style="thin"/>
      <x:top style="medium"/>
    </x:border>
    <x:border diagonalUp="0" diagonalDown="0">
      <x:left style="thin"/>
      <x:top style="medium"/>
      <x:bottom style="thin"/>
    </x:border>
    <x:border diagonalUp="0" diagonalDown="0">
      <x:left style="thin"/>
      <x:right style="medium"/>
      <x:top style="medium"/>
    </x:border>
    <x:border diagonalUp="0" diagonalDown="0">
      <x:left style="medium"/>
    </x:border>
    <x:border diagonalUp="0" diagonalDown="0">
      <x:right style="thin"/>
    </x:border>
    <x:border diagonalUp="0" diagonalDown="0">
      <x:left style="thin"/>
      <x:top style="thin"/>
      <x:bottom style="thin"/>
    </x:border>
    <x:border diagonalUp="0" diagonalDown="0">
      <x:left style="thin"/>
      <x:right style="medium"/>
    </x:border>
    <x:border diagonalUp="0" diagonalDown="0">
      <x:left style="medium"/>
      <x:bottom style="thin"/>
    </x:border>
    <x:border diagonalUp="0" diagonalDown="0">
      <x:right style="thin"/>
      <x:bottom style="thin"/>
    </x:border>
    <x:border diagonalUp="0" diagonalDown="0">
      <x:left style="thin"/>
      <x:right style="thin"/>
      <x:top style="thin"/>
      <x:bottom style="thin"/>
    </x:border>
    <x:border diagonalUp="0" diagonalDown="0">
      <x:left style="thin"/>
      <x:right style="medium"/>
      <x:bottom style="thin"/>
    </x:border>
    <x:border diagonalUp="0" diagonalDown="0">
      <x:left style="medium"/>
      <x:top style="thin"/>
      <x:bottom style="thin"/>
    </x:border>
    <x:border diagonalUp="0" diagonalDown="0">
      <x:right style="medium"/>
      <x:top style="thin"/>
      <x:bottom style="thin"/>
    </x:border>
    <x:border diagonalUp="0" diagonalDown="0">
      <x:left style="medium"/>
      <x:right style="thin"/>
      <x:top style="thin"/>
    </x:border>
    <x:border diagonalUp="0" diagonalDown="0">
      <x:left style="thin"/>
      <x:right style="thin"/>
      <x:top style="thin"/>
    </x:border>
    <x:border diagonalUp="0" diagonalDown="0">
      <x:left style="thin"/>
      <x:right style="medium"/>
      <x:top style="thin"/>
    </x:border>
    <x:border diagonalUp="0" diagonalDown="0">
      <x:left style="medium"/>
      <x:right style="thin"/>
    </x:border>
    <x:border diagonalUp="0" diagonalDown="0">
      <x:left style="thin"/>
      <x:right style="thin"/>
    </x:border>
    <x:border diagonalUp="0" diagonalDown="0">
      <x:right style="medium"/>
    </x:border>
    <x:border diagonalUp="0" diagonalDown="0">
      <x:left style="medium"/>
      <x:right style="thin"/>
      <x:bottom style="thin"/>
    </x:border>
    <x:border diagonalUp="0" diagonalDown="0">
      <x:left style="thin"/>
      <x:right style="thin"/>
      <x:bottom style="thin"/>
    </x:border>
    <x:border diagonalUp="0" diagonalDown="0">
      <x:bottom style="thin"/>
    </x:border>
    <x:border diagonalUp="0" diagonalDown="0">
      <x:right style="medium"/>
      <x:bottom style="thin"/>
    </x:border>
    <x:border diagonalUp="0" diagonalDown="0">
      <x:left style="thin"/>
    </x:border>
    <x:border diagonalUp="0" diagonalDown="0">
      <x:left style="thin"/>
      <x:bottom style="thin"/>
    </x:border>
    <x:border diagonalUp="0" diagonalDown="0">
      <x:left style="medium"/>
      <x:top style="thin"/>
    </x:border>
    <x:border diagonalUp="0" diagonalDown="0">
      <x:right style="thin"/>
      <x:top style="thin"/>
    </x:border>
    <x:border diagonalUp="0" diagonalDown="0">
      <x:left style="thin"/>
      <x:top style="thin"/>
    </x:border>
    <x:border diagonalUp="0" diagonalDown="0">
      <x:top style="thin"/>
    </x:border>
    <x:border diagonalUp="0" diagonalDown="0">
      <x:left style="thin"/>
      <x:right style="medium"/>
      <x:top style="thin"/>
      <x:bottom style="thin"/>
    </x:border>
    <x:border diagonalUp="0" diagonalDown="0">
      <x:left style="thin"/>
      <x:right style="medium"/>
      <x:top style="thin"/>
      <x:bottom style="medium"/>
    </x:border>
    <x:border diagonalUp="0" diagonalDown="0">
      <x:left style="medium"/>
      <x:bottom style="medium"/>
    </x:border>
    <x:border diagonalUp="0" diagonalDown="0">
      <x:right style="thin"/>
      <x:bottom style="medium"/>
    </x:border>
    <x:border diagonalUp="0" diagonalDown="0">
      <x:top style="medium"/>
    </x:border>
    <x:border diagonalUp="0" diagonalDown="0"/>
    <x:border diagonalUp="0" diagonalDown="0">
      <x:bottom style="medium"/>
    </x:border>
    <x:border diagonalUp="0" diagonalDown="0">
      <x:left style="medium"/>
      <x:top style="medium"/>
    </x:border>
    <x:border diagonalUp="0" diagonalDown="0">
      <x:right style="thin"/>
      <x:top style="medium"/>
    </x:border>
    <x:border diagonalUp="0" diagonalDown="0">
      <x:left style="thin"/>
      <x:top style="medium"/>
      <x:bottom style="thin"/>
    </x:border>
    <x:border diagonalUp="0" diagonalDown="0">
      <x:left style="thin"/>
      <x:right style="medium"/>
      <x:top style="medium"/>
    </x:border>
    <x:border diagonalUp="0" diagonalDown="0">
      <x:left style="medium"/>
    </x:border>
    <x:border diagonalUp="0" diagonalDown="0">
      <x:right style="thin"/>
    </x:border>
    <x:border diagonalUp="0" diagonalDown="0">
      <x:left style="thin"/>
      <x:top style="thin"/>
      <x:bottom style="thin"/>
    </x:border>
    <x:border diagonalUp="0" diagonalDown="0">
      <x:left style="thin"/>
      <x:right style="medium"/>
    </x:border>
    <x:border diagonalUp="0" diagonalDown="0">
      <x:left style="medium"/>
      <x:bottom style="thin"/>
    </x:border>
    <x:border diagonalUp="0" diagonalDown="0">
      <x:right style="thin"/>
      <x:bottom style="thin"/>
    </x:border>
    <x:border diagonalUp="0" diagonalDown="0">
      <x:left style="thin"/>
      <x:right style="thin"/>
      <x:top style="thin"/>
      <x:bottom style="thin"/>
    </x:border>
    <x:border diagonalUp="0" diagonalDown="0">
      <x:left style="thin"/>
      <x:right style="medium"/>
      <x:bottom style="thin"/>
    </x:border>
    <x:border diagonalUp="0" diagonalDown="0">
      <x:left style="medium"/>
      <x:top style="thin"/>
      <x:bottom style="thin"/>
    </x:border>
    <x:border diagonalUp="0" diagonalDown="0">
      <x:right style="medium"/>
      <x:top style="thin"/>
      <x:bottom style="thin"/>
    </x:border>
    <x:border diagonalUp="0" diagonalDown="0">
      <x:left style="medium"/>
      <x:right style="thin"/>
      <x:top style="thin"/>
    </x:border>
    <x:border diagonalUp="0" diagonalDown="0">
      <x:left style="thin"/>
      <x:right style="thin"/>
      <x:top style="thin"/>
    </x:border>
    <x:border diagonalUp="0" diagonalDown="0">
      <x:left style="thin"/>
      <x:right style="medium"/>
      <x:top style="thin"/>
    </x:border>
    <x:border diagonalUp="0" diagonalDown="0">
      <x:left style="medium"/>
      <x:right style="thin"/>
    </x:border>
    <x:border diagonalUp="0" diagonalDown="0">
      <x:left style="thin"/>
      <x:right style="thin"/>
    </x:border>
    <x:border diagonalUp="0" diagonalDown="0">
      <x:right style="medium"/>
    </x:border>
    <x:border diagonalUp="0" diagonalDown="0">
      <x:left style="medium"/>
      <x:right style="thin"/>
      <x:bottom style="thin"/>
    </x:border>
    <x:border diagonalUp="0" diagonalDown="0">
      <x:left style="thin"/>
      <x:right style="thin"/>
      <x:bottom style="thin"/>
    </x:border>
    <x:border diagonalUp="0" diagonalDown="0">
      <x:bottom style="thin"/>
    </x:border>
    <x:border diagonalUp="0" diagonalDown="0">
      <x:right style="medium"/>
      <x:bottom style="thin"/>
    </x:border>
    <x:border diagonalUp="0" diagonalDown="0">
      <x:left style="thin"/>
    </x:border>
    <x:border diagonalUp="0" diagonalDown="0">
      <x:left style="thin"/>
      <x:bottom style="thin"/>
    </x:border>
    <x:border diagonalUp="0" diagonalDown="0">
      <x:left style="medium"/>
      <x:top style="thin"/>
    </x:border>
    <x:border diagonalUp="0" diagonalDown="0">
      <x:right style="thin"/>
      <x:top style="thin"/>
    </x:border>
    <x:border diagonalUp="0" diagonalDown="0">
      <x:left style="thin"/>
      <x:top style="thin"/>
    </x:border>
    <x:border diagonalUp="0" diagonalDown="0">
      <x:top style="thin"/>
    </x:border>
    <x:border diagonalUp="0" diagonalDown="0">
      <x:left style="thin"/>
      <x:right style="medium"/>
      <x:top style="thin"/>
      <x:bottom style="thin"/>
    </x:border>
    <x:border diagonalUp="0" diagonalDown="0">
      <x:left style="thin"/>
      <x:right style="medium"/>
      <x:top style="thin"/>
      <x:bottom style="medium"/>
    </x:border>
    <x:border diagonalUp="0" diagonalDown="0">
      <x:left style="medium"/>
      <x:bottom style="medium"/>
    </x:border>
    <x:border diagonalUp="0" diagonalDown="0">
      <x:right style="thin"/>
      <x:bottom style="medium"/>
    </x:border>
    <x:border diagonalUp="0" diagonalDown="0">
      <x:top style="medium"/>
    </x:border>
  </x:borders>
  <x:cellStyleXfs count="23">
    <x:xf numFmtId="164" fontId="0" fillId="0" borderId="0" applyFont="1" applyBorder="1" applyAlignment="1" applyProtection="1">
      <x:alignment horizontal="general" vertical="center"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167" fontId="0" fillId="0" borderId="0" applyFont="1" applyBorder="0" applyAlignment="1" applyProtection="0">
      <x:alignment horizontal="general" vertical="center" wrapText="0" shrinkToFit="0"/>
    </x:xf>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2" borderId="0" applyFont="1" applyBorder="0" applyAlignment="1" applyProtection="0">
      <x:alignment horizontal="general" vertical="center" wrapText="0" shrinkToFit="0"/>
    </x:xf>
    <x:xf numFmtId="164" fontId="5" fillId="0" borderId="0" applyFont="1" applyBorder="1" applyAlignment="1" applyProtection="1">
      <x:alignment horizontal="general" vertical="center" wrapText="0" shrinkToFit="0"/>
    </x:xf>
    <x:xf numFmtId="164" fontId="0" fillId="0" borderId="0" applyFont="1" applyBorder="1" applyAlignment="1" applyProtection="1">
      <x:alignment horizontal="general" vertical="bottom" wrapText="0" shrinkToFit="0"/>
    </x:xf>
  </x:cellStyleXfs>
  <x:cellXfs count="227">
    <x:xf numFmtId="164" fontId="0" fillId="0" borderId="0" xfId="0" applyFont="0" applyBorder="0" applyAlignment="0">
      <x:alignment horizontal="general" vertical="center" wrapText="0"/>
    </x:xf>
    <x:xf numFmtId="164" fontId="0" fillId="0" borderId="0" xfId="22" applyFont="1" applyBorder="0" applyAlignment="0">
      <x:alignment horizontal="general" vertical="bottom" wrapText="0"/>
    </x:xf>
    <x:xf numFmtId="164" fontId="6" fillId="0" borderId="0" xfId="0" applyFont="1" applyBorder="1" applyAlignment="1">
      <x:alignment horizontal="center" vertical="center" wrapText="0"/>
    </x:xf>
    <x:xf numFmtId="164" fontId="8" fillId="0" borderId="0" xfId="22" applyFont="1" applyBorder="0" applyAlignment="1">
      <x:alignment horizontal="general" vertical="center" wrapText="1"/>
    </x:xf>
    <x:xf numFmtId="164" fontId="9" fillId="0" borderId="1" xfId="0" applyFont="1" applyBorder="1" applyAlignment="1">
      <x:alignment horizontal="center" vertical="center" wrapText="0"/>
    </x:xf>
    <x:xf numFmtId="164" fontId="11" fillId="0" borderId="2" xfId="22" applyFont="1" applyBorder="1" applyAlignment="1">
      <x:alignment horizontal="left" vertical="center" wrapText="0"/>
    </x:xf>
    <x:xf numFmtId="164" fontId="12" fillId="0" borderId="3" xfId="22" applyFont="1" applyBorder="1" applyAlignment="1">
      <x:alignment horizontal="left" vertical="center" wrapText="0"/>
    </x:xf>
    <x:xf numFmtId="164" fontId="11" fillId="0" borderId="4" xfId="22" applyFont="1" applyBorder="1" applyAlignment="1">
      <x:alignment horizontal="center" vertical="center" wrapText="0"/>
    </x:xf>
    <x:xf numFmtId="164" fontId="11" fillId="0" borderId="5" xfId="22" applyFont="1" applyBorder="1" applyAlignment="1">
      <x:alignment horizontal="center" vertical="center" wrapText="0"/>
    </x:xf>
    <x:xf numFmtId="164" fontId="11" fillId="0" borderId="6" xfId="22" applyFont="1" applyBorder="1" applyAlignment="1">
      <x:alignment horizontal="left" vertical="center" wrapText="0"/>
    </x:xf>
    <x:xf numFmtId="164" fontId="12" fillId="0" borderId="7" xfId="22" applyFont="1" applyBorder="1" applyAlignment="1">
      <x:alignment horizontal="left" vertical="center" wrapText="0"/>
    </x:xf>
    <x:xf numFmtId="164" fontId="11" fillId="0" borderId="8" xfId="22" applyFont="1" applyBorder="1" applyAlignment="1">
      <x:alignment horizontal="center" vertical="center" wrapText="0"/>
    </x:xf>
    <x:xf numFmtId="164" fontId="11" fillId="0" borderId="9" xfId="22" applyFont="1" applyBorder="1" applyAlignment="1">
      <x:alignment horizontal="center" vertical="center" wrapText="0"/>
    </x:xf>
    <x:xf numFmtId="164" fontId="11" fillId="0" borderId="10" xfId="22" applyFont="1" applyBorder="1" applyAlignment="1">
      <x:alignment horizontal="general" vertical="center" wrapText="0"/>
    </x:xf>
    <x:xf numFmtId="164" fontId="12" fillId="0" borderId="11" xfId="22" applyFont="1" applyBorder="1" applyAlignment="1">
      <x:alignment horizontal="general" vertical="center" wrapText="0"/>
    </x:xf>
    <x:xf numFmtId="164" fontId="12" fillId="0" borderId="12" xfId="22" applyFont="1" applyBorder="1" applyAlignment="1">
      <x:alignment horizontal="center" vertical="center" wrapText="0"/>
    </x:xf>
    <x:xf numFmtId="164" fontId="12" fillId="0" borderId="13" xfId="22" applyFont="1" applyBorder="1" applyAlignment="1">
      <x:alignment horizontal="general" vertical="center" wrapText="0"/>
    </x:xf>
    <x:xf numFmtId="164" fontId="11" fillId="0" borderId="14" xfId="22" applyFont="1" applyBorder="1" applyAlignment="1">
      <x:alignment horizontal="center" vertical="center" wrapText="0"/>
    </x:xf>
    <x:xf numFmtId="164" fontId="11" fillId="0" borderId="12" xfId="22" applyFont="1" applyBorder="1" applyAlignment="1">
      <x:alignment horizontal="center" vertical="center" wrapText="0"/>
    </x:xf>
    <x:xf numFmtId="164" fontId="11" fillId="0" borderId="15" xfId="22" applyFont="1" applyBorder="1" applyAlignment="1">
      <x:alignment horizontal="center" vertical="center" wrapText="0"/>
    </x:xf>
    <x:xf numFmtId="164" fontId="13" fillId="0" borderId="16" xfId="22" applyFont="1" applyBorder="1" applyAlignment="1">
      <x:alignment horizontal="right" vertical="top" wrapText="0"/>
    </x:xf>
    <x:xf numFmtId="164" fontId="13" fillId="0" borderId="17" xfId="22" applyFont="1" applyBorder="1" applyAlignment="1">
      <x:alignment horizontal="right" vertical="top" wrapText="0"/>
    </x:xf>
    <x:xf numFmtId="164" fontId="13" fillId="0" borderId="18" xfId="22" applyFont="1" applyBorder="1" applyAlignment="1">
      <x:alignment horizontal="right" vertical="top" wrapText="0"/>
    </x:xf>
    <x:xf numFmtId="165" fontId="0" fillId="0" borderId="19" xfId="22" applyFont="1" applyBorder="1" applyAlignment="1">
      <x:alignment horizontal="general" vertical="top" wrapText="0"/>
    </x:xf>
    <x:xf numFmtId="165" fontId="11" fillId="0" borderId="7" xfId="22" applyFont="1" applyBorder="1" applyAlignment="1">
      <x:alignment horizontal="general" vertical="top" wrapText="0"/>
    </x:xf>
    <x:xf numFmtId="165" fontId="0" fillId="0" borderId="20" xfId="22" applyFont="1" applyBorder="1" applyAlignment="1">
      <x:alignment horizontal="general" vertical="top" wrapText="0"/>
    </x:xf>
    <x:xf numFmtId="165" fontId="14" fillId="0" borderId="9" xfId="22" applyFont="1" applyBorder="1" applyAlignment="1">
      <x:alignment horizontal="left" vertical="top" wrapText="1"/>
    </x:xf>
    <x:xf numFmtId="165" fontId="15" fillId="0" borderId="9" xfId="22" applyFont="1" applyBorder="1" applyAlignment="1">
      <x:alignment horizontal="general" vertical="bottom" wrapText="1"/>
    </x:xf>
    <x:xf numFmtId="166" fontId="0" fillId="0" borderId="0" xfId="22" applyFont="1" applyBorder="0" applyAlignment="0">
      <x:alignment horizontal="general" vertical="bottom" wrapText="0"/>
    </x:xf>
    <x:xf numFmtId="165" fontId="0" fillId="0" borderId="19" xfId="22" applyFont="1" applyBorder="1" applyAlignment="0">
      <x:alignment horizontal="general" vertical="bottom" wrapText="0"/>
    </x:xf>
    <x:xf numFmtId="165" fontId="0" fillId="0" borderId="20" xfId="22" applyFont="1" applyBorder="1" applyAlignment="0">
      <x:alignment horizontal="general" vertical="bottom" wrapText="0"/>
    </x:xf>
    <x:xf numFmtId="165" fontId="0" fillId="0" borderId="9" xfId="22" applyFont="1" applyBorder="1" applyAlignment="0">
      <x:alignment horizontal="general" vertical="bottom" wrapText="0"/>
    </x:xf>
    <x:xf numFmtId="165" fontId="0" fillId="0" borderId="20" xfId="22" applyFont="1" applyBorder="1" applyAlignment="0">
      <x:alignment horizontal="general" vertical="bottom" wrapText="0"/>
    </x:xf>
    <x:xf numFmtId="166" fontId="0" fillId="0" borderId="21" xfId="22" applyFont="1" applyBorder="1" applyAlignment="0">
      <x:alignment horizontal="general" vertical="bottom" wrapText="0"/>
    </x:xf>
    <x:xf numFmtId="165" fontId="0" fillId="0" borderId="22" xfId="22" applyFont="1" applyBorder="1" applyAlignment="0">
      <x:alignment horizontal="general" vertical="bottom" wrapText="0"/>
    </x:xf>
    <x:xf numFmtId="165" fontId="0" fillId="0" borderId="23" xfId="22" applyFont="1" applyBorder="1" applyAlignment="0">
      <x:alignment horizontal="general" vertical="bottom" wrapText="0"/>
    </x:xf>
    <x:xf numFmtId="165" fontId="0" fillId="0" borderId="23" xfId="22" applyFont="1" applyBorder="1" applyAlignment="0">
      <x:alignment horizontal="general" vertical="bottom" wrapText="0"/>
    </x:xf>
    <x:xf numFmtId="165" fontId="0" fillId="0" borderId="13" xfId="22" applyFont="1" applyBorder="1" applyAlignment="0">
      <x:alignment horizontal="general" vertical="bottom" wrapText="0"/>
    </x:xf>
    <x:xf numFmtId="165" fontId="5" fillId="0" borderId="19" xfId="22" applyFont="1" applyBorder="1" applyAlignment="0">
      <x:alignment horizontal="general" vertical="bottom" wrapText="0"/>
    </x:xf>
    <x:xf numFmtId="165" fontId="5" fillId="0" borderId="20" xfId="22" applyFont="1" applyBorder="1" applyAlignment="0">
      <x:alignment horizontal="general" vertical="bottom" wrapText="0"/>
    </x:xf>
    <x:xf numFmtId="165" fontId="5" fillId="0" borderId="9" xfId="22" applyFont="1" applyBorder="1" applyAlignment="0">
      <x:alignment horizontal="general" vertical="bottom" wrapText="0"/>
    </x:xf>
    <x:xf numFmtId="164" fontId="5" fillId="0" borderId="6" xfId="0" applyFont="1" applyBorder="1" applyAlignment="1">
      <x:alignment horizontal="center" vertical="bottom" wrapText="0"/>
    </x:xf>
    <x:xf numFmtId="164" fontId="5" fillId="0" borderId="7" xfId="0" applyFont="1" applyBorder="1" applyAlignment="1">
      <x:alignment horizontal="center" vertical="bottom" wrapText="0"/>
    </x:xf>
    <x:xf numFmtId="164" fontId="16" fillId="0" borderId="20" xfId="0" applyFont="1" applyBorder="1" applyAlignment="1">
      <x:alignment horizontal="right" vertical="center" wrapText="0"/>
    </x:xf>
    <x:xf numFmtId="164" fontId="16" fillId="0" borderId="9" xfId="0" applyFont="1" applyBorder="1" applyAlignment="1">
      <x:alignment horizontal="right" vertical="center" wrapText="0"/>
    </x:xf>
    <x:xf numFmtId="165" fontId="5" fillId="0" borderId="19" xfId="0" applyFont="1" applyBorder="1" applyAlignment="1">
      <x:alignment horizontal="center" vertical="bottom" wrapText="0"/>
    </x:xf>
    <x:xf numFmtId="167" fontId="5" fillId="0" borderId="20" xfId="16" applyFont="1" applyBorder="1" applyAlignment="1">
      <x:alignment horizontal="general" vertical="bottom" wrapText="0"/>
    </x:xf>
    <x:xf numFmtId="164" fontId="5" fillId="0" borderId="10" xfId="0" applyFont="1" applyBorder="1" applyAlignment="1">
      <x:alignment horizontal="center" vertical="bottom" wrapText="0"/>
    </x:xf>
    <x:xf numFmtId="164" fontId="5" fillId="0" borderId="24" xfId="0" applyFont="1" applyBorder="1" applyAlignment="1">
      <x:alignment horizontal="center" vertical="bottom" wrapText="0"/>
    </x:xf>
    <x:xf numFmtId="164" fontId="16" fillId="0" borderId="23" xfId="0" applyFont="1" applyBorder="1" applyAlignment="1">
      <x:alignment horizontal="right" vertical="center" wrapText="0"/>
    </x:xf>
    <x:xf numFmtId="164" fontId="16" fillId="0" borderId="25" xfId="0" applyFont="1" applyBorder="1" applyAlignment="1">
      <x:alignment horizontal="right" vertical="center" wrapText="0"/>
    </x:xf>
    <x:xf numFmtId="167" fontId="5" fillId="0" borderId="26" xfId="16" applyFont="1" applyBorder="1" applyAlignment="1">
      <x:alignment horizontal="general" vertical="bottom" wrapText="0"/>
    </x:xf>
    <x:xf numFmtId="167" fontId="5" fillId="0" borderId="0" xfId="16" applyFont="1" applyBorder="1" applyAlignment="1">
      <x:alignment horizontal="general" vertical="bottom" wrapText="0"/>
    </x:xf>
    <x:xf numFmtId="167" fontId="5" fillId="0" borderId="7" xfId="16" applyFont="1" applyBorder="1" applyAlignment="1">
      <x:alignment horizontal="general" vertical="bottom" wrapText="0"/>
    </x:xf>
    <x:xf numFmtId="164" fontId="5" fillId="0" borderId="13" xfId="0" applyFont="1" applyBorder="1" applyAlignment="1">
      <x:alignment horizontal="left" vertical="top" wrapText="1"/>
    </x:xf>
    <x:xf numFmtId="164" fontId="0" fillId="0" borderId="6" xfId="22" applyFont="1" applyBorder="1" applyAlignment="0">
      <x:alignment horizontal="general" vertical="bottom" wrapText="0"/>
    </x:xf>
    <x:xf numFmtId="164" fontId="5" fillId="0" borderId="7" xfId="0" applyFont="1" applyBorder="1" applyAlignment="1">
      <x:alignment horizontal="left" vertical="bottom" wrapText="0"/>
    </x:xf>
    <x:xf numFmtId="164" fontId="5" fillId="0" borderId="26" xfId="0" applyFont="1" applyBorder="1" applyAlignment="1">
      <x:alignment horizontal="center" vertical="bottom" wrapText="0"/>
    </x:xf>
    <x:xf numFmtId="164" fontId="5" fillId="0" borderId="0" xfId="0" applyFont="1" applyBorder="1" applyAlignment="1">
      <x:alignment horizontal="center" vertical="bottom" wrapText="0"/>
    </x:xf>
    <x:xf numFmtId="164" fontId="5" fillId="0" borderId="6" xfId="0" applyFont="1" applyBorder="1" applyAlignment="1">
      <x:alignment horizontal="left" vertical="bottom" wrapText="0"/>
    </x:xf>
    <x:xf numFmtId="164" fontId="5" fillId="0" borderId="0" xfId="0" applyFont="1" applyBorder="1" applyAlignment="1">
      <x:alignment horizontal="left" vertical="bottom" wrapText="0"/>
    </x:xf>
    <x:xf numFmtId="164" fontId="5" fillId="0" borderId="26" xfId="0" applyFont="1" applyBorder="1" applyAlignment="1">
      <x:alignment horizontal="left" vertical="bottom" wrapText="0"/>
    </x:xf>
    <x:xf numFmtId="164" fontId="17" fillId="0" borderId="6" xfId="0" applyFont="1" applyBorder="1" applyAlignment="1">
      <x:alignment horizontal="left" vertical="bottom" wrapText="0"/>
    </x:xf>
    <x:xf numFmtId="164" fontId="5" fillId="0" borderId="10" xfId="0" applyFont="1" applyBorder="1" applyAlignment="1">
      <x:alignment horizontal="left" vertical="bottom" wrapText="0"/>
    </x:xf>
    <x:xf numFmtId="164" fontId="5" fillId="0" borderId="11" xfId="0" applyFont="1" applyBorder="1" applyAlignment="1">
      <x:alignment horizontal="left" vertical="bottom" wrapText="0"/>
    </x:xf>
    <x:xf numFmtId="164" fontId="5" fillId="0" borderId="27" xfId="0" applyFont="1" applyBorder="1" applyAlignment="1">
      <x:alignment horizontal="center" vertical="bottom" wrapText="0"/>
    </x:xf>
    <x:xf numFmtId="164" fontId="5" fillId="0" borderId="11" xfId="0" applyFont="1" applyBorder="1" applyAlignment="1">
      <x:alignment horizontal="center" vertical="bottom" wrapText="0"/>
    </x:xf>
    <x:xf numFmtId="164" fontId="5" fillId="0" borderId="19" xfId="0" applyFont="1" applyBorder="1" applyAlignment="1">
      <x:alignment horizontal="center" vertical="bottom" wrapText="0"/>
    </x:xf>
    <x:xf numFmtId="164" fontId="0" fillId="0" borderId="13" xfId="0" applyFont="1" applyBorder="1" applyAlignment="1">
      <x:alignment horizontal="left" vertical="top" wrapText="1"/>
    </x:xf>
    <x:xf numFmtId="165" fontId="5" fillId="0" borderId="22" xfId="0" applyFont="1" applyBorder="1" applyAlignment="1">
      <x:alignment horizontal="center" vertical="bottom" wrapText="0"/>
    </x:xf>
    <x:xf numFmtId="167" fontId="5" fillId="0" borderId="23" xfId="16" applyFont="1" applyBorder="1" applyAlignment="1">
      <x:alignment horizontal="general" vertical="bottom" wrapText="0"/>
    </x:xf>
    <x:xf numFmtId="164" fontId="5" fillId="0" borderId="16" xfId="0" applyFont="1" applyBorder="1" applyAlignment="1">
      <x:alignment horizontal="center" vertical="bottom" wrapText="0"/>
    </x:xf>
    <x:xf numFmtId="164" fontId="18" fillId="0" borderId="17" xfId="0" applyFont="1" applyBorder="1" applyAlignment="1">
      <x:alignment horizontal="right" vertical="center" wrapText="0"/>
    </x:xf>
    <x:xf numFmtId="164" fontId="18" fillId="0" borderId="18" xfId="0" applyFont="1" applyBorder="1" applyAlignment="1">
      <x:alignment horizontal="right" vertical="center" wrapText="0"/>
    </x:xf>
    <x:xf numFmtId="165" fontId="5" fillId="0" borderId="13" xfId="22" applyFont="1" applyBorder="1" applyAlignment="0">
      <x:alignment horizontal="general" vertical="bottom" wrapText="0"/>
    </x:xf>
    <x:xf numFmtId="164" fontId="5" fillId="0" borderId="28" xfId="0" applyFont="1" applyBorder="1" applyAlignment="1">
      <x:alignment horizontal="center" vertical="bottom" wrapText="0"/>
    </x:xf>
    <x:xf numFmtId="164" fontId="5" fillId="0" borderId="29" xfId="0" applyFont="1" applyBorder="1" applyAlignment="1">
      <x:alignment horizontal="center" vertical="bottom" wrapText="0"/>
    </x:xf>
    <x:xf numFmtId="167" fontId="5" fillId="0" borderId="30" xfId="16" applyFont="1" applyBorder="1" applyAlignment="1">
      <x:alignment horizontal="general" vertical="bottom" wrapText="0"/>
    </x:xf>
    <x:xf numFmtId="167" fontId="5" fillId="0" borderId="31" xfId="16" applyFont="1" applyBorder="1" applyAlignment="1">
      <x:alignment horizontal="general" vertical="bottom" wrapText="0"/>
    </x:xf>
    <x:xf numFmtId="167" fontId="5" fillId="0" borderId="29" xfId="16" applyFont="1" applyBorder="1" applyAlignment="1">
      <x:alignment horizontal="general" vertical="bottom" wrapText="0"/>
    </x:xf>
    <x:xf numFmtId="164" fontId="5" fillId="0" borderId="32" xfId="0" applyFont="1" applyBorder="1" applyAlignment="1">
      <x:alignment horizontal="general" vertical="top" wrapText="1"/>
    </x:xf>
    <x:xf numFmtId="164" fontId="0" fillId="0" borderId="13" xfId="0" applyFont="1" applyBorder="1" applyAlignment="1">
      <x:alignment horizontal="general" vertical="top" wrapText="1"/>
    </x:xf>
    <x:xf numFmtId="165" fontId="5" fillId="0" borderId="6" xfId="0" applyFont="1" applyBorder="1" applyAlignment="1">
      <x:alignment horizontal="center" vertical="bottom" wrapText="0"/>
    </x:xf>
    <x:xf numFmtId="164" fontId="5" fillId="0" borderId="31" xfId="0" applyFont="1" applyBorder="1" applyAlignment="1">
      <x:alignment horizontal="center" vertical="bottom" wrapText="0"/>
    </x:xf>
    <x:xf numFmtId="164" fontId="5" fillId="0" borderId="31" xfId="0" applyFont="1" applyBorder="1" applyAlignment="0">
      <x:alignment horizontal="general" vertical="center" wrapText="0"/>
    </x:xf>
    <x:xf numFmtId="164" fontId="5" fillId="0" borderId="29" xfId="0" applyFont="1" applyBorder="1" applyAlignment="0">
      <x:alignment horizontal="general" vertical="center" wrapText="0"/>
    </x:xf>
    <x:xf numFmtId="164" fontId="19" fillId="0" borderId="33" xfId="0" applyFont="1" applyBorder="1" applyAlignment="1">
      <x:alignment horizontal="left" vertical="top" wrapText="1"/>
    </x:xf>
    <x:xf numFmtId="164" fontId="5" fillId="0" borderId="0" xfId="0" applyFont="1" applyBorder="1" applyAlignment="0">
      <x:alignment horizontal="general" vertical="center" wrapText="0"/>
    </x:xf>
    <x:xf numFmtId="164" fontId="5" fillId="0" borderId="7" xfId="0" applyFont="1" applyBorder="1" applyAlignment="0">
      <x:alignment horizontal="general" vertical="center" wrapText="0"/>
    </x:xf>
    <x:xf numFmtId="164" fontId="5" fillId="0" borderId="6" xfId="22" applyFont="1" applyBorder="1" applyAlignment="0">
      <x:alignment horizontal="general" vertical="bottom" wrapText="0"/>
    </x:xf>
    <x:xf numFmtId="164" fontId="5" fillId="0" borderId="34" xfId="0" applyFont="1" applyBorder="1" applyAlignment="1">
      <x:alignment horizontal="center" vertical="bottom" wrapText="0"/>
    </x:xf>
    <x:xf numFmtId="164" fontId="5" fillId="0" borderId="1" xfId="0" applyFont="1" applyBorder="1" applyAlignment="1">
      <x:alignment horizontal="center" vertical="bottom" wrapText="0"/>
    </x:xf>
    <x:xf numFmtId="164" fontId="5" fillId="0" borderId="1" xfId="0" applyFont="1" applyBorder="1" applyAlignment="0">
      <x:alignment horizontal="general" vertical="center" wrapText="0"/>
    </x:xf>
    <x:xf numFmtId="164" fontId="5" fillId="0" borderId="35" xfId="0" applyFont="1" applyBorder="1" applyAlignment="0">
      <x:alignment horizontal="general" vertical="center" wrapText="0"/>
    </x:xf>
    <x:xf numFmtId="164" fontId="21" fillId="0" borderId="36" xfId="0" applyFont="1" applyBorder="1" applyAlignment="1">
      <x:alignment horizontal="left" vertical="bottom" wrapText="0"/>
    </x:xf>
    <x:xf numFmtId="164" fontId="13" fillId="0" borderId="0" xfId="0" applyFont="1" applyBorder="1" applyAlignment="1">
      <x:alignment horizontal="left" vertical="bottom" wrapText="0"/>
    </x:xf>
    <x:xf numFmtId="164" fontId="21" fillId="0" borderId="0" xfId="0" applyFont="1" applyBorder="1" applyAlignment="1">
      <x:alignment horizontal="left" vertical="bottom" wrapText="1"/>
    </x:xf>
    <x:xf numFmtId="164" fontId="13" fillId="0" borderId="0" xfId="0" applyFont="1" applyBorder="1" applyAlignment="1">
      <x:alignment horizontal="left" vertical="bottom" wrapText="1"/>
    </x:xf>
    <x:xf numFmtId="164" fontId="13" fillId="0" borderId="0" xfId="22" applyFont="1" applyBorder="1" applyAlignment="1">
      <x:alignment horizontal="left" vertical="bottom" wrapText="0"/>
    </x:xf>
    <x:xf numFmtId="164" fontId="0" fillId="0" borderId="37" xfId="0" applyNumberFormat="1" applyFont="1" applyFill="1" applyBorder="1" applyAlignment="1">
      <x:alignment horizontal="general" vertical="center" wrapText="0"/>
    </x:xf>
    <x:xf numFmtId="164" fontId="0" fillId="0" borderId="37" xfId="0" applyNumberFormat="1" applyFont="1" applyFill="1" applyBorder="1" applyAlignment="1">
      <x:alignment horizontal="general" vertical="bottom" wrapText="0"/>
    </x:xf>
    <x:xf numFmtId="164" fontId="6" fillId="0" borderId="37" xfId="0" applyNumberFormat="1" applyFont="1" applyFill="1" applyBorder="1" applyAlignment="1">
      <x:alignment horizontal="center" vertical="center" wrapText="0"/>
    </x:xf>
    <x:xf numFmtId="164" fontId="8" fillId="0" borderId="37" xfId="0" applyNumberFormat="1" applyFont="1" applyFill="1" applyBorder="1" applyAlignment="1">
      <x:alignment horizontal="general" vertical="center" wrapText="1"/>
    </x:xf>
    <x:xf numFmtId="164" fontId="9" fillId="0" borderId="38" xfId="0" applyNumberFormat="1" applyFont="1" applyFill="1" applyBorder="1" applyAlignment="1">
      <x:alignment horizontal="center" vertical="center" wrapText="0"/>
    </x:xf>
    <x:xf numFmtId="164" fontId="11" fillId="0" borderId="39" xfId="0" applyNumberFormat="1" applyFont="1" applyFill="1" applyBorder="1" applyAlignment="1">
      <x:alignment horizontal="left" vertical="center" wrapText="0"/>
    </x:xf>
    <x:xf numFmtId="164" fontId="12" fillId="0" borderId="40" xfId="0" applyNumberFormat="1" applyFont="1" applyFill="1" applyBorder="1" applyAlignment="1">
      <x:alignment horizontal="left" vertical="center" wrapText="0"/>
    </x:xf>
    <x:xf numFmtId="164" fontId="11" fillId="0" borderId="41" xfId="0" applyNumberFormat="1" applyFont="1" applyFill="1" applyBorder="1" applyAlignment="1">
      <x:alignment horizontal="center" vertical="center" wrapText="0"/>
    </x:xf>
    <x:xf numFmtId="164" fontId="11" fillId="0" borderId="42" xfId="0" applyNumberFormat="1" applyFont="1" applyFill="1" applyBorder="1" applyAlignment="1">
      <x:alignment horizontal="center" vertical="center" wrapText="0"/>
    </x:xf>
    <x:xf numFmtId="164" fontId="11" fillId="0" borderId="43" xfId="0" applyNumberFormat="1" applyFont="1" applyFill="1" applyBorder="1" applyAlignment="1">
      <x:alignment horizontal="left" vertical="center" wrapText="0"/>
    </x:xf>
    <x:xf numFmtId="164" fontId="12" fillId="0" borderId="44" xfId="0" applyNumberFormat="1" applyFont="1" applyFill="1" applyBorder="1" applyAlignment="1">
      <x:alignment horizontal="left" vertical="center" wrapText="0"/>
    </x:xf>
    <x:xf numFmtId="164" fontId="11" fillId="0" borderId="45" xfId="0" applyNumberFormat="1" applyFont="1" applyFill="1" applyBorder="1" applyAlignment="1">
      <x:alignment horizontal="center" vertical="center" wrapText="0"/>
    </x:xf>
    <x:xf numFmtId="164" fontId="11" fillId="0" borderId="46" xfId="0" applyNumberFormat="1" applyFont="1" applyFill="1" applyBorder="1" applyAlignment="1">
      <x:alignment horizontal="center" vertical="center" wrapText="0"/>
    </x:xf>
    <x:xf numFmtId="164" fontId="11" fillId="0" borderId="47" xfId="0" applyNumberFormat="1" applyFont="1" applyFill="1" applyBorder="1" applyAlignment="1">
      <x:alignment horizontal="general" vertical="center" wrapText="0"/>
    </x:xf>
    <x:xf numFmtId="164" fontId="12" fillId="0" borderId="48" xfId="0" applyNumberFormat="1" applyFont="1" applyFill="1" applyBorder="1" applyAlignment="1">
      <x:alignment horizontal="general" vertical="center" wrapText="0"/>
    </x:xf>
    <x:xf numFmtId="164" fontId="12" fillId="0" borderId="49" xfId="0" applyNumberFormat="1" applyFont="1" applyFill="1" applyBorder="1" applyAlignment="1">
      <x:alignment horizontal="center" vertical="center" wrapText="0"/>
    </x:xf>
    <x:xf numFmtId="164" fontId="12" fillId="0" borderId="50" xfId="0" applyNumberFormat="1" applyFont="1" applyFill="1" applyBorder="1" applyAlignment="1">
      <x:alignment horizontal="general" vertical="center" wrapText="0"/>
    </x:xf>
    <x:xf numFmtId="164" fontId="11" fillId="0" borderId="51" xfId="0" applyNumberFormat="1" applyFont="1" applyFill="1" applyBorder="1" applyAlignment="1">
      <x:alignment horizontal="center" vertical="center" wrapText="0"/>
    </x:xf>
    <x:xf numFmtId="164" fontId="11" fillId="0" borderId="49" xfId="0" applyNumberFormat="1" applyFont="1" applyFill="1" applyBorder="1" applyAlignment="1">
      <x:alignment horizontal="center" vertical="center" wrapText="0"/>
    </x:xf>
    <x:xf numFmtId="164" fontId="11" fillId="0" borderId="52" xfId="0" applyNumberFormat="1" applyFont="1" applyFill="1" applyBorder="1" applyAlignment="1">
      <x:alignment horizontal="center" vertical="center" wrapText="0"/>
    </x:xf>
    <x:xf numFmtId="164" fontId="13" fillId="0" borderId="53" xfId="0" applyNumberFormat="1" applyFont="1" applyFill="1" applyBorder="1" applyAlignment="1">
      <x:alignment horizontal="right" vertical="top" wrapText="0"/>
    </x:xf>
    <x:xf numFmtId="164" fontId="13" fillId="0" borderId="54" xfId="0" applyNumberFormat="1" applyFont="1" applyFill="1" applyBorder="1" applyAlignment="1">
      <x:alignment horizontal="right" vertical="top" wrapText="0"/>
    </x:xf>
    <x:xf numFmtId="164" fontId="13" fillId="0" borderId="55" xfId="0" applyNumberFormat="1" applyFont="1" applyFill="1" applyBorder="1" applyAlignment="1">
      <x:alignment horizontal="right" vertical="top" wrapText="0"/>
    </x:xf>
    <x:xf numFmtId="165" fontId="0" fillId="0" borderId="56" xfId="0" applyNumberFormat="1" applyFont="1" applyFill="1" applyBorder="1" applyAlignment="1">
      <x:alignment horizontal="general" vertical="top" wrapText="0"/>
    </x:xf>
    <x:xf numFmtId="165" fontId="11" fillId="0" borderId="44" xfId="0" applyNumberFormat="1" applyFont="1" applyFill="1" applyBorder="1" applyAlignment="1">
      <x:alignment horizontal="general" vertical="top" wrapText="0"/>
    </x:xf>
    <x:xf numFmtId="165" fontId="0" fillId="0" borderId="57" xfId="0" applyNumberFormat="1" applyFont="1" applyFill="1" applyBorder="1" applyAlignment="1">
      <x:alignment horizontal="general" vertical="top" wrapText="0"/>
    </x:xf>
    <x:xf numFmtId="165" fontId="14" fillId="0" borderId="46" xfId="0" applyNumberFormat="1" applyFont="1" applyFill="1" applyBorder="1" applyAlignment="1">
      <x:alignment horizontal="left" vertical="top" wrapText="1"/>
    </x:xf>
    <x:xf numFmtId="165" fontId="15" fillId="0" borderId="46" xfId="0" applyNumberFormat="1" applyFont="1" applyFill="1" applyBorder="1" applyAlignment="1">
      <x:alignment horizontal="general" vertical="bottom" wrapText="1"/>
    </x:xf>
    <x:xf numFmtId="166" fontId="0" fillId="0" borderId="37" xfId="0" applyNumberFormat="1" applyFont="1" applyFill="1" applyBorder="1" applyAlignment="1">
      <x:alignment horizontal="general" vertical="bottom" wrapText="0"/>
    </x:xf>
    <x:xf numFmtId="165" fontId="0" fillId="0" borderId="56" xfId="0" applyNumberFormat="1" applyFont="1" applyFill="1" applyBorder="1" applyAlignment="1">
      <x:alignment horizontal="general" vertical="bottom" wrapText="0"/>
    </x:xf>
    <x:xf numFmtId="165" fontId="0" fillId="0" borderId="57" xfId="0" applyNumberFormat="1" applyFont="1" applyFill="1" applyBorder="1" applyAlignment="1">
      <x:alignment horizontal="general" vertical="bottom" wrapText="0"/>
    </x:xf>
    <x:xf numFmtId="165" fontId="0" fillId="0" borderId="46" xfId="0" applyNumberFormat="1" applyFont="1" applyFill="1" applyBorder="1" applyAlignment="1">
      <x:alignment horizontal="general" vertical="bottom" wrapText="0"/>
    </x:xf>
    <x:xf numFmtId="166" fontId="0" fillId="0" borderId="58" xfId="0" applyNumberFormat="1" applyFont="1" applyFill="1" applyBorder="1" applyAlignment="1">
      <x:alignment horizontal="general" vertical="bottom" wrapText="0"/>
    </x:xf>
    <x:xf numFmtId="165" fontId="0" fillId="0" borderId="59" xfId="0" applyNumberFormat="1" applyFont="1" applyFill="1" applyBorder="1" applyAlignment="1">
      <x:alignment horizontal="general" vertical="bottom" wrapText="0"/>
    </x:xf>
    <x:xf numFmtId="165" fontId="0" fillId="0" borderId="60" xfId="0" applyNumberFormat="1" applyFont="1" applyFill="1" applyBorder="1" applyAlignment="1">
      <x:alignment horizontal="general" vertical="bottom" wrapText="0"/>
    </x:xf>
    <x:xf numFmtId="165" fontId="0" fillId="0" borderId="50" xfId="0" applyNumberFormat="1" applyFont="1" applyFill="1" applyBorder="1" applyAlignment="1">
      <x:alignment horizontal="general" vertical="bottom" wrapText="0"/>
    </x:xf>
    <x:xf numFmtId="165" fontId="5" fillId="0" borderId="56" xfId="0" applyNumberFormat="1" applyFont="1" applyFill="1" applyBorder="1" applyAlignment="1">
      <x:alignment horizontal="general" vertical="bottom" wrapText="0"/>
    </x:xf>
    <x:xf numFmtId="165" fontId="5" fillId="0" borderId="57" xfId="0" applyNumberFormat="1" applyFont="1" applyFill="1" applyBorder="1" applyAlignment="1">
      <x:alignment horizontal="general" vertical="bottom" wrapText="0"/>
    </x:xf>
    <x:xf numFmtId="165" fontId="5" fillId="0" borderId="46" xfId="0" applyNumberFormat="1" applyFont="1" applyFill="1" applyBorder="1" applyAlignment="1">
      <x:alignment horizontal="general" vertical="bottom" wrapText="0"/>
    </x:xf>
    <x:xf numFmtId="164" fontId="5" fillId="0" borderId="43" xfId="0" applyNumberFormat="1" applyFont="1" applyFill="1" applyBorder="1" applyAlignment="1">
      <x:alignment horizontal="center" vertical="bottom" wrapText="0"/>
    </x:xf>
    <x:xf numFmtId="164" fontId="5" fillId="0" borderId="44" xfId="0" applyNumberFormat="1" applyFont="1" applyFill="1" applyBorder="1" applyAlignment="1">
      <x:alignment horizontal="center" vertical="bottom" wrapText="0"/>
    </x:xf>
    <x:xf numFmtId="164" fontId="16" fillId="0" borderId="57" xfId="0" applyNumberFormat="1" applyFont="1" applyFill="1" applyBorder="1" applyAlignment="1">
      <x:alignment horizontal="right" vertical="center" wrapText="0"/>
    </x:xf>
    <x:xf numFmtId="164" fontId="16" fillId="0" borderId="46" xfId="0" applyNumberFormat="1" applyFont="1" applyFill="1" applyBorder="1" applyAlignment="1">
      <x:alignment horizontal="right" vertical="center" wrapText="0"/>
    </x:xf>
    <x:xf numFmtId="165" fontId="5" fillId="0" borderId="56" xfId="0" applyNumberFormat="1" applyFont="1" applyFill="1" applyBorder="1" applyAlignment="1">
      <x:alignment horizontal="center" vertical="bottom" wrapText="0"/>
    </x:xf>
    <x:xf numFmtId="167" fontId="5" fillId="0" borderId="57" xfId="0" applyNumberFormat="1" applyFont="1" applyFill="1" applyBorder="1" applyAlignment="1">
      <x:alignment horizontal="general" vertical="bottom" wrapText="0"/>
    </x:xf>
    <x:xf numFmtId="164" fontId="5" fillId="0" borderId="47" xfId="0" applyNumberFormat="1" applyFont="1" applyFill="1" applyBorder="1" applyAlignment="1">
      <x:alignment horizontal="center" vertical="bottom" wrapText="0"/>
    </x:xf>
    <x:xf numFmtId="164" fontId="5" fillId="0" borderId="61" xfId="0" applyNumberFormat="1" applyFont="1" applyFill="1" applyBorder="1" applyAlignment="1">
      <x:alignment horizontal="center" vertical="bottom" wrapText="0"/>
    </x:xf>
    <x:xf numFmtId="164" fontId="16" fillId="0" borderId="60" xfId="0" applyNumberFormat="1" applyFont="1" applyFill="1" applyBorder="1" applyAlignment="1">
      <x:alignment horizontal="right" vertical="center" wrapText="0"/>
    </x:xf>
    <x:xf numFmtId="164" fontId="16" fillId="0" borderId="62" xfId="0" applyNumberFormat="1" applyFont="1" applyFill="1" applyBorder="1" applyAlignment="1">
      <x:alignment horizontal="right" vertical="center" wrapText="0"/>
    </x:xf>
    <x:xf numFmtId="167" fontId="5" fillId="0" borderId="63" xfId="0" applyNumberFormat="1" applyFont="1" applyFill="1" applyBorder="1" applyAlignment="1">
      <x:alignment horizontal="general" vertical="bottom" wrapText="0"/>
    </x:xf>
    <x:xf numFmtId="167" fontId="5" fillId="0" borderId="37" xfId="0" applyNumberFormat="1" applyFont="1" applyFill="1" applyBorder="1" applyAlignment="1">
      <x:alignment horizontal="general" vertical="bottom" wrapText="0"/>
    </x:xf>
    <x:xf numFmtId="167" fontId="5" fillId="0" borderId="44" xfId="0" applyNumberFormat="1" applyFont="1" applyFill="1" applyBorder="1" applyAlignment="1">
      <x:alignment horizontal="general" vertical="bottom" wrapText="0"/>
    </x:xf>
    <x:xf numFmtId="164" fontId="5" fillId="0" borderId="50" xfId="0" applyNumberFormat="1" applyFont="1" applyFill="1" applyBorder="1" applyAlignment="1">
      <x:alignment horizontal="left" vertical="top" wrapText="1"/>
    </x:xf>
    <x:xf numFmtId="164" fontId="0" fillId="0" borderId="43" xfId="0" applyNumberFormat="1" applyFont="1" applyFill="1" applyBorder="1" applyAlignment="1">
      <x:alignment horizontal="general" vertical="bottom" wrapText="0"/>
    </x:xf>
    <x:xf numFmtId="164" fontId="5" fillId="0" borderId="44" xfId="0" applyNumberFormat="1" applyFont="1" applyFill="1" applyBorder="1" applyAlignment="1">
      <x:alignment horizontal="left" vertical="bottom" wrapText="0"/>
    </x:xf>
    <x:xf numFmtId="164" fontId="5" fillId="0" borderId="63" xfId="0" applyNumberFormat="1" applyFont="1" applyFill="1" applyBorder="1" applyAlignment="1">
      <x:alignment horizontal="center" vertical="bottom" wrapText="0"/>
    </x:xf>
    <x:xf numFmtId="164" fontId="5" fillId="0" borderId="37" xfId="0" applyNumberFormat="1" applyFont="1" applyFill="1" applyBorder="1" applyAlignment="1">
      <x:alignment horizontal="center" vertical="bottom" wrapText="0"/>
    </x:xf>
    <x:xf numFmtId="164" fontId="5" fillId="0" borderId="43" xfId="0" applyNumberFormat="1" applyFont="1" applyFill="1" applyBorder="1" applyAlignment="1">
      <x:alignment horizontal="left" vertical="bottom" wrapText="0"/>
    </x:xf>
    <x:xf numFmtId="164" fontId="5" fillId="0" borderId="37" xfId="0" applyNumberFormat="1" applyFont="1" applyFill="1" applyBorder="1" applyAlignment="1">
      <x:alignment horizontal="left" vertical="bottom" wrapText="0"/>
    </x:xf>
    <x:xf numFmtId="164" fontId="5" fillId="0" borderId="63" xfId="0" applyNumberFormat="1" applyFont="1" applyFill="1" applyBorder="1" applyAlignment="1">
      <x:alignment horizontal="left" vertical="bottom" wrapText="0"/>
    </x:xf>
    <x:xf numFmtId="164" fontId="17" fillId="0" borderId="43" xfId="0" applyNumberFormat="1" applyFont="1" applyFill="1" applyBorder="1" applyAlignment="1">
      <x:alignment horizontal="left" vertical="bottom" wrapText="0"/>
    </x:xf>
    <x:xf numFmtId="164" fontId="5" fillId="0" borderId="47" xfId="0" applyNumberFormat="1" applyFont="1" applyFill="1" applyBorder="1" applyAlignment="1">
      <x:alignment horizontal="left" vertical="bottom" wrapText="0"/>
    </x:xf>
    <x:xf numFmtId="164" fontId="5" fillId="0" borderId="48" xfId="0" applyNumberFormat="1" applyFont="1" applyFill="1" applyBorder="1" applyAlignment="1">
      <x:alignment horizontal="left" vertical="bottom" wrapText="0"/>
    </x:xf>
    <x:xf numFmtId="164" fontId="5" fillId="0" borderId="64" xfId="0" applyNumberFormat="1" applyFont="1" applyFill="1" applyBorder="1" applyAlignment="1">
      <x:alignment horizontal="center" vertical="bottom" wrapText="0"/>
    </x:xf>
    <x:xf numFmtId="164" fontId="5" fillId="0" borderId="48" xfId="0" applyNumberFormat="1" applyFont="1" applyFill="1" applyBorder="1" applyAlignment="1">
      <x:alignment horizontal="center" vertical="bottom" wrapText="0"/>
    </x:xf>
    <x:xf numFmtId="164" fontId="5" fillId="0" borderId="56" xfId="0" applyNumberFormat="1" applyFont="1" applyFill="1" applyBorder="1" applyAlignment="1">
      <x:alignment horizontal="center" vertical="bottom" wrapText="0"/>
    </x:xf>
    <x:xf numFmtId="164" fontId="0" fillId="0" borderId="50" xfId="0" applyNumberFormat="1" applyFont="1" applyFill="1" applyBorder="1" applyAlignment="1">
      <x:alignment horizontal="left" vertical="top" wrapText="1"/>
    </x:xf>
    <x:xf numFmtId="165" fontId="5" fillId="0" borderId="59" xfId="0" applyNumberFormat="1" applyFont="1" applyFill="1" applyBorder="1" applyAlignment="1">
      <x:alignment horizontal="center" vertical="bottom" wrapText="0"/>
    </x:xf>
    <x:xf numFmtId="167" fontId="5" fillId="0" borderId="60" xfId="0" applyNumberFormat="1" applyFont="1" applyFill="1" applyBorder="1" applyAlignment="1">
      <x:alignment horizontal="general" vertical="bottom" wrapText="0"/>
    </x:xf>
    <x:xf numFmtId="164" fontId="5" fillId="0" borderId="53" xfId="0" applyNumberFormat="1" applyFont="1" applyFill="1" applyBorder="1" applyAlignment="1">
      <x:alignment horizontal="center" vertical="bottom" wrapText="0"/>
    </x:xf>
    <x:xf numFmtId="164" fontId="18" fillId="0" borderId="54" xfId="0" applyNumberFormat="1" applyFont="1" applyFill="1" applyBorder="1" applyAlignment="1">
      <x:alignment horizontal="right" vertical="center" wrapText="0"/>
    </x:xf>
    <x:xf numFmtId="164" fontId="18" fillId="0" borderId="55" xfId="0" applyNumberFormat="1" applyFont="1" applyFill="1" applyBorder="1" applyAlignment="1">
      <x:alignment horizontal="right" vertical="center" wrapText="0"/>
    </x:xf>
    <x:xf numFmtId="165" fontId="5" fillId="0" borderId="50" xfId="0" applyNumberFormat="1" applyFont="1" applyFill="1" applyBorder="1" applyAlignment="1">
      <x:alignment horizontal="general" vertical="bottom" wrapText="0"/>
    </x:xf>
    <x:xf numFmtId="164" fontId="5" fillId="0" borderId="65" xfId="0" applyNumberFormat="1" applyFont="1" applyFill="1" applyBorder="1" applyAlignment="1">
      <x:alignment horizontal="center" vertical="bottom" wrapText="0"/>
    </x:xf>
    <x:xf numFmtId="164" fontId="5" fillId="0" borderId="66" xfId="0" applyNumberFormat="1" applyFont="1" applyFill="1" applyBorder="1" applyAlignment="1">
      <x:alignment horizontal="center" vertical="bottom" wrapText="0"/>
    </x:xf>
    <x:xf numFmtId="167" fontId="5" fillId="0" borderId="67" xfId="0" applyNumberFormat="1" applyFont="1" applyFill="1" applyBorder="1" applyAlignment="1">
      <x:alignment horizontal="general" vertical="bottom" wrapText="0"/>
    </x:xf>
    <x:xf numFmtId="167" fontId="5" fillId="0" borderId="68" xfId="0" applyNumberFormat="1" applyFont="1" applyFill="1" applyBorder="1" applyAlignment="1">
      <x:alignment horizontal="general" vertical="bottom" wrapText="0"/>
    </x:xf>
    <x:xf numFmtId="167" fontId="5" fillId="0" borderId="66" xfId="0" applyNumberFormat="1" applyFont="1" applyFill="1" applyBorder="1" applyAlignment="1">
      <x:alignment horizontal="general" vertical="bottom" wrapText="0"/>
    </x:xf>
    <x:xf numFmtId="164" fontId="5" fillId="0" borderId="69" xfId="0" applyNumberFormat="1" applyFont="1" applyFill="1" applyBorder="1" applyAlignment="1">
      <x:alignment horizontal="general" vertical="top" wrapText="1"/>
    </x:xf>
    <x:xf numFmtId="164" fontId="0" fillId="0" borderId="50" xfId="0" applyNumberFormat="1" applyFont="1" applyFill="1" applyBorder="1" applyAlignment="1">
      <x:alignment horizontal="general" vertical="top" wrapText="1"/>
    </x:xf>
    <x:xf numFmtId="165" fontId="5" fillId="0" borderId="43" xfId="0" applyNumberFormat="1" applyFont="1" applyFill="1" applyBorder="1" applyAlignment="1">
      <x:alignment horizontal="center" vertical="bottom" wrapText="0"/>
    </x:xf>
    <x:xf numFmtId="164" fontId="5" fillId="0" borderId="68" xfId="0" applyNumberFormat="1" applyFont="1" applyFill="1" applyBorder="1" applyAlignment="1">
      <x:alignment horizontal="center" vertical="bottom" wrapText="0"/>
    </x:xf>
    <x:xf numFmtId="164" fontId="5" fillId="0" borderId="68" xfId="0" applyNumberFormat="1" applyFont="1" applyFill="1" applyBorder="1" applyAlignment="1">
      <x:alignment horizontal="general" vertical="center" wrapText="0"/>
    </x:xf>
    <x:xf numFmtId="164" fontId="5" fillId="0" borderId="66" xfId="0" applyNumberFormat="1" applyFont="1" applyFill="1" applyBorder="1" applyAlignment="1">
      <x:alignment horizontal="general" vertical="center" wrapText="0"/>
    </x:xf>
    <x:xf numFmtId="164" fontId="19" fillId="0" borderId="70" xfId="0" applyNumberFormat="1" applyFont="1" applyFill="1" applyBorder="1" applyAlignment="1">
      <x:alignment horizontal="left" vertical="top" wrapText="1"/>
    </x:xf>
    <x:xf numFmtId="164" fontId="5" fillId="0" borderId="37" xfId="0" applyNumberFormat="1" applyFont="1" applyFill="1" applyBorder="1" applyAlignment="1">
      <x:alignment horizontal="general" vertical="center" wrapText="0"/>
    </x:xf>
    <x:xf numFmtId="164" fontId="5" fillId="0" borderId="44" xfId="0" applyNumberFormat="1" applyFont="1" applyFill="1" applyBorder="1" applyAlignment="1">
      <x:alignment horizontal="general" vertical="center" wrapText="0"/>
    </x:xf>
    <x:xf numFmtId="164" fontId="5" fillId="0" borderId="43" xfId="0" applyNumberFormat="1" applyFont="1" applyFill="1" applyBorder="1" applyAlignment="1">
      <x:alignment horizontal="general" vertical="bottom" wrapText="0"/>
    </x:xf>
    <x:xf numFmtId="164" fontId="5" fillId="0" borderId="71" xfId="0" applyNumberFormat="1" applyFont="1" applyFill="1" applyBorder="1" applyAlignment="1">
      <x:alignment horizontal="center" vertical="bottom" wrapText="0"/>
    </x:xf>
    <x:xf numFmtId="164" fontId="5" fillId="0" borderId="38" xfId="0" applyNumberFormat="1" applyFont="1" applyFill="1" applyBorder="1" applyAlignment="1">
      <x:alignment horizontal="center" vertical="bottom" wrapText="0"/>
    </x:xf>
    <x:xf numFmtId="164" fontId="5" fillId="0" borderId="38" xfId="0" applyNumberFormat="1" applyFont="1" applyFill="1" applyBorder="1" applyAlignment="1">
      <x:alignment horizontal="general" vertical="center" wrapText="0"/>
    </x:xf>
    <x:xf numFmtId="164" fontId="5" fillId="0" borderId="72" xfId="0" applyNumberFormat="1" applyFont="1" applyFill="1" applyBorder="1" applyAlignment="1">
      <x:alignment horizontal="general" vertical="center" wrapText="0"/>
    </x:xf>
    <x:xf numFmtId="164" fontId="21" fillId="0" borderId="73" xfId="0" applyNumberFormat="1" applyFont="1" applyFill="1" applyBorder="1" applyAlignment="1">
      <x:alignment horizontal="left" vertical="bottom" wrapText="0"/>
    </x:xf>
    <x:xf numFmtId="164" fontId="13" fillId="0" borderId="37" xfId="0" applyNumberFormat="1" applyFont="1" applyFill="1" applyBorder="1" applyAlignment="1">
      <x:alignment horizontal="left" vertical="bottom" wrapText="0"/>
    </x:xf>
    <x:xf numFmtId="164" fontId="21" fillId="0" borderId="37" xfId="0" applyNumberFormat="1" applyFont="1" applyFill="1" applyBorder="1" applyAlignment="1">
      <x:alignment horizontal="left" vertical="bottom" wrapText="1"/>
    </x:xf>
    <x:xf numFmtId="164" fontId="13" fillId="0" borderId="37" xfId="0" applyNumberFormat="1" applyFont="1" applyFill="1" applyBorder="1" applyAlignment="1">
      <x:alignment horizontal="left" vertical="bottom" wrapText="1"/>
    </x:xf>
    <x:xf numFmtId="164" fontId="0" fillId="3" borderId="0" xfId="0" applyNumberFormat="1" applyFont="1" applyFill="1" applyBorder="1" applyAlignment="1">
      <x:alignment horizontal="general" vertical="center" wrapText="0"/>
    </x:xf>
    <x:xf numFmtId="164" fontId="22" fillId="3" borderId="0" xfId="0" applyNumberFormat="1" applyFont="1" applyFill="1" applyBorder="1" applyAlignment="1">
      <x:alignment horizontal="general" vertical="center" wrapText="0"/>
    </x:xf>
    <x:xf numFmtId="164" fontId="22" fillId="3" borderId="0" xfId="0" applyNumberFormat="1" applyFont="1" applyFill="1" applyBorder="1" applyAlignment="1">
      <x:alignment horizontal="center" vertical="center" wrapText="0"/>
    </x:xf>
    <x:xf numFmtId="164" fontId="0" fillId="3" borderId="37" xfId="0" applyNumberFormat="1" applyFont="1" applyFill="1" applyBorder="1" applyAlignment="1">
      <x:alignment horizontal="general" vertical="center" wrapText="0"/>
    </x:xf>
    <x:xf numFmtId="164" fontId="22" fillId="3" borderId="37" xfId="0" applyNumberFormat="1" applyFont="1" applyFill="1" applyBorder="1" applyAlignment="1">
      <x:alignment horizontal="general" vertical="center" wrapText="0"/>
    </x:xf>
    <x:xf numFmtId="164" fontId="22" fillId="3" borderId="37" xfId="0" applyNumberFormat="1" applyFont="1" applyFill="1" applyBorder="1" applyAlignment="1">
      <x:alignment horizontal="center" vertical="center" wrapText="0"/>
    </x:xf>
    <x:xf numFmtId="164" fontId="0" fillId="4" borderId="0" xfId="0" applyNumberFormat="1" applyFont="1" applyFill="1" applyBorder="1" applyAlignment="1">
      <x:alignment horizontal="general" vertical="center" wrapText="0"/>
    </x:xf>
    <x:xf numFmtId="164" fontId="23" fillId="4" borderId="0" xfId="0" applyNumberFormat="1" applyFont="1" applyFill="1" applyBorder="1" applyAlignment="1">
      <x:alignment horizontal="general" vertical="center" wrapText="0"/>
    </x:xf>
    <x:xf numFmtId="164" fontId="23" fillId="4" borderId="0" xfId="0" applyNumberFormat="1" applyFont="1" applyFill="1" applyBorder="1" applyAlignment="1">
      <x:alignment horizontal="general" vertical="center" wrapText="1"/>
    </x:xf>
    <x:xf numFmtId="164" fontId="0" fillId="4" borderId="37" xfId="0" applyNumberFormat="1" applyFont="1" applyFill="1" applyBorder="1" applyAlignment="1">
      <x:alignment horizontal="general" vertical="center" wrapText="0"/>
    </x:xf>
    <x:xf numFmtId="164" fontId="23" fillId="4" borderId="37" xfId="0" applyNumberFormat="1" applyFont="1" applyFill="1" applyBorder="1" applyAlignment="1">
      <x:alignment horizontal="general" vertical="center" wrapText="0"/>
    </x:xf>
    <x:xf numFmtId="164" fontId="23" fillId="4" borderId="37" xfId="0" applyNumberFormat="1" applyFont="1" applyFill="1" applyBorder="1" applyAlignment="1">
      <x:alignment horizontal="general" vertical="center" wrapText="1"/>
    </x:xf>
    <x:xf numFmtId="164" fontId="0" fillId="5" borderId="0" xfId="0" applyNumberFormat="1" applyFont="1" applyFill="1" applyBorder="1" applyAlignment="1">
      <x:alignment horizontal="general" vertical="center" wrapText="0"/>
    </x:xf>
    <x:xf numFmtId="164" fontId="24" fillId="5" borderId="0" xfId="0" applyNumberFormat="1" applyFont="1" applyFill="1" applyBorder="1" applyAlignment="1">
      <x:alignment horizontal="general" vertical="center" wrapText="0"/>
    </x:xf>
    <x:xf numFmtId="164" fontId="24" fillId="5" borderId="0" xfId="0" applyNumberFormat="1" applyFont="1" applyFill="1" applyBorder="1" applyAlignment="1">
      <x:alignment horizontal="general" vertical="center" wrapText="1"/>
    </x:xf>
    <x:xf numFmtId="164" fontId="24" fillId="5" borderId="0" xfId="0" applyNumberFormat="1" applyFont="1" applyFill="1" applyBorder="1" applyAlignment="1">
      <x:alignment horizontal="center" vertical="center" wrapText="1"/>
    </x:xf>
    <x:xf numFmtId="164" fontId="0" fillId="5" borderId="37" xfId="0" applyNumberFormat="1" applyFont="1" applyFill="1" applyBorder="1" applyAlignment="1">
      <x:alignment horizontal="general" vertical="center" wrapText="0"/>
    </x:xf>
    <x:xf numFmtId="164" fontId="24" fillId="5" borderId="37" xfId="0" applyNumberFormat="1" applyFont="1" applyFill="1" applyBorder="1" applyAlignment="1">
      <x:alignment horizontal="general" vertical="center" wrapText="0"/>
    </x:xf>
    <x:xf numFmtId="164" fontId="24" fillId="5" borderId="37" xfId="0" applyNumberFormat="1" applyFont="1" applyFill="1" applyBorder="1" applyAlignment="1">
      <x:alignment horizontal="general" vertical="center" wrapText="1"/>
    </x:xf>
    <x:xf numFmtId="164" fontId="24" fillId="5" borderId="37"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center" wrapText="1"/>
    </x:xf>
    <x:xf numFmtId="164" fontId="0" fillId="0" borderId="0" xfId="0" applyNumberFormat="1" applyFont="1" applyFill="1" applyBorder="1" applyAlignment="1">
      <x:alignment horizontal="general" vertical="top" wrapText="1"/>
    </x:xf>
    <x:xf numFmtId="164" fontId="0" fillId="0" borderId="37" xfId="0" applyNumberFormat="1" applyFont="1" applyFill="1" applyBorder="1" applyAlignment="1">
      <x:alignment horizontal="general" vertical="center" wrapText="1"/>
    </x:xf>
    <x:xf numFmtId="164" fontId="0" fillId="0" borderId="37" xfId="0" applyNumberFormat="1" applyFont="1" applyFill="1" applyBorder="1" applyAlignment="1">
      <x:alignment horizontal="general" vertical="top" wrapText="1"/>
    </x:xf>
    <x:xf numFmtId="165" fontId="0" fillId="0" borderId="0" xfId="0" applyNumberFormat="1" applyFont="1" applyFill="1" applyBorder="1" applyAlignment="1">
      <x:alignment horizontal="general" vertical="center" wrapText="0"/>
    </x:xf>
    <x:xf numFmtId="165" fontId="0" fillId="0" borderId="37" xfId="0" applyNumberFormat="1" applyFont="1" applyFill="1" applyBorder="1" applyAlignment="1">
      <x:alignment horizontal="general" vertical="center" wrapText="0"/>
    </x:xf>
    <x:xf numFmtId="200" fontId="0" fillId="0" borderId="0" xfId="0" applyNumberFormat="1" applyFont="1" applyFill="1" applyBorder="1" applyAlignment="1">
      <x:alignment horizontal="general" vertical="center" wrapText="0"/>
    </x:xf>
    <x:xf numFmtId="200" fontId="0" fillId="0" borderId="37" xfId="0" applyNumberFormat="1" applyFont="1" applyFill="1" applyBorder="1" applyAlignment="1">
      <x:alignment horizontal="general" vertical="center" wrapText="0"/>
    </x:xf>
    <x:xf numFmtId="166" fontId="0" fillId="0" borderId="0" xfId="0" applyNumberFormat="1" applyFont="1" applyFill="1" applyBorder="1" applyAlignment="1">
      <x:alignment horizontal="general" vertical="center" wrapText="0"/>
    </x:xf>
    <x:xf numFmtId="166" fontId="0" fillId="0" borderId="37" xfId="0" applyNumberFormat="1" applyFont="1" applyFill="1" applyBorder="1" applyAlignment="1">
      <x:alignment horizontal="general" vertical="center" wrapText="0"/>
    </x:xf>
    <x:xf numFmtId="201" fontId="0" fillId="0" borderId="0" xfId="0" applyNumberFormat="1" applyFont="1" applyFill="1" applyBorder="1" applyAlignment="1">
      <x:alignment horizontal="general" vertical="center" wrapText="0"/>
    </x:xf>
    <x:xf numFmtId="201" fontId="0" fillId="0" borderId="37" xfId="0" applyNumberFormat="1" applyFont="1" applyFill="1" applyBorder="1" applyAlignment="1">
      <x:alignment horizontal="general" vertical="center" wrapText="0"/>
    </x:xf>
  </x:cellXfs>
  <x:cellStyles count="9">
    <x:cellStyle name="Normal" xfId="0"/>
    <x:cellStyle name="Comma" xfId="15"/>
    <x:cellStyle name="Comma [0]" xfId="16"/>
    <x:cellStyle name="Currency" xfId="17"/>
    <x:cellStyle name="Currency [0]" xfId="18"/>
    <x:cellStyle name="Percent" xfId="19"/>
    <x:cellStyle name="Background" xfId="20"/>
    <x:cellStyle name="標準 2" xfId="21"/>
    <x:cellStyle name="標準_01_21" xfId="22"/>
  </x:cellStyles>
  <x:colors>
    <x:indexedColors>
      <x:rgbColor rgb="FF000000"/>
      <x:rgbColor rgb="FFFFFFFF"/>
      <x:rgbColor rgb="FFFF0000"/>
      <x:rgbColor rgb="FF00FF00"/>
      <x:rgbColor rgb="FF0000FF"/>
      <x:rgbColor rgb="FFFFFF00"/>
      <x:rgbColor rgb="FFFF00FF"/>
      <x:rgbColor rgb="FF00FFFF"/>
      <x:rgbColor rgb="FF4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2e7eea13a2f4dcf" /><Relationship Type="http://schemas.openxmlformats.org/officeDocument/2006/relationships/theme" Target="/xl/theme/theme1.xml" Id="R5c178defad14479e" /><Relationship Type="http://schemas.openxmlformats.org/officeDocument/2006/relationships/sharedStrings" Target="/xl/sharedStrings.xml" Id="R59e0bf601c9a4c92" /><Relationship Type="http://schemas.openxmlformats.org/officeDocument/2006/relationships/worksheet" Target="/xl/worksheets/sheet1.xml" Id="R00e941bad87949bc" /><Relationship Type="http://schemas.openxmlformats.org/officeDocument/2006/relationships/worksheet" Target="/xl/worksheets/sheet2.xml" Id="Red5d38b8bab94761" /><Relationship Type="http://schemas.openxmlformats.org/officeDocument/2006/relationships/worksheet" Target="/xl/worksheets/sheet3.xml" Id="Ra97abe271350479f" /><Relationship Type="http://schemas.openxmlformats.org/officeDocument/2006/relationships/worksheet" Target="/xl/worksheets/sheet4.xml" Id="R98cb81c5f3214d7c" /></Relationships>
</file>

<file path=xl/tables/table1.xml><?xml version="1.0" encoding="utf-8"?>
<x:table xmlns:x="http://schemas.openxmlformats.org/spreadsheetml/2006/main" id="2" name="PayInputTable" displayName="PayInputTable" ref="A4:M40" headerRowCount="1">
  <x:tableColumns count="13">
    <x:tableColumn id="1" name="支払月"/>
    <x:tableColumn id="2" name="スタッフ名"/>
    <x:tableColumn id="3" name="売上金額"/>
    <x:tableColumn id="4" name="歩合率"/>
    <x:tableColumn id="5" name="支給額"/>
    <x:tableColumn id="6" name="社会保険料等控除額"/>
    <x:tableColumn id="7" name="社会保険料等控除後の給与"/>
    <x:tableColumn id="8" name="税額表区分"/>
    <x:tableColumn id="9" name="扶養親族等の数"/>
    <x:tableColumn id="10" name="源泉所得税"/>
    <x:tableColumn id="11" name="差引支給額"/>
    <x:tableColumn id="12" name="メモ"/>
    <x:tableColumn id="13" name="税表行"/>
  </x:tableColumns>
  <x:tableStyleInfo name="TableStyleMedium2" showRowStripes="1"/>
</x:table>
</file>

<file path=xl/tables/table2.xml><?xml version="1.0" encoding="utf-8"?>
<x:table xmlns:x="http://schemas.openxmlformats.org/spreadsheetml/2006/main" id="3" name="SummaryByStaff" displayName="SummaryByStaff" ref="N4:Q7" headerRowCount="1">
  <x:tableColumns count="4">
    <x:tableColumn id="1" name="集計"/>
    <x:tableColumn id="2" name="支給額合計"/>
    <x:tableColumn id="3" name="源泉税合計"/>
    <x:tableColumn id="4" name="差引支給額合計"/>
  </x:tableColumns>
  <x:tableStyleInfo name="TableStyleMedium2" showRowStripes="1"/>
</x:table>
</file>

<file path=xl/tables/table3.xml><?xml version="1.0" encoding="utf-8"?>
<x:table xmlns:x="http://schemas.openxmlformats.org/spreadsheetml/2006/main" id="1" name="TaxTable2026Monthly" displayName="TaxTable2026Monthly" ref="A1:N242" headerRowCount="1">
  <x:tableColumns count="14">
    <x:tableColumn id="1" name="下限"/>
    <x:tableColumn id="2" name="上限"/>
    <x:tableColumn id="3" name="甲欄_加算率"/>
    <x:tableColumn id="4" name="乙欄_加算開始額"/>
    <x:tableColumn id="5" name="乙欄_基礎税額"/>
    <x:tableColumn id="6" name="乙欄_加算率"/>
    <x:tableColumn id="7" name="甲0人基礎"/>
    <x:tableColumn id="8" name="甲1人基礎"/>
    <x:tableColumn id="9" name="甲2人基礎"/>
    <x:tableColumn id="10" name="甲3人基礎"/>
    <x:tableColumn id="11" name="甲4人基礎"/>
    <x:tableColumn id="12" name="甲5人基礎"/>
    <x:tableColumn id="13" name="甲6人基礎"/>
    <x:tableColumn id="14" name="甲7人基礎"/>
  </x:tableColumns>
  <x:tableStyleInfo name="TableStyleMedium2" showRowStripes="1"/>
</x:table>
</file>

<file path=xl/theme/theme1.xml><?xml version="1.0" encoding="utf-8"?>
<a:theme xmlns:a="http://schemas.openxmlformats.org/drawingml/2006/main"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a:ea typeface="Calibri"/>
        <a:cs typeface="Calibri"/>
      </a:majorFont>
      <a:minorFont>
        <a:latin typeface="Calibri"/>
        <a:ea typeface="Calibri"/>
        <a:cs typeface="Calibri"/>
      </a:minorFont>
    </a:fontScheme>
    <a:fmtScheme name="Libr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325e8b473b4e6c" /><Relationship Type="http://schemas.openxmlformats.org/officeDocument/2006/relationships/table" Target="/xl/tables/table2.xml" Id="Rd6d90d45c7914ff7" /></Relationships>
</file>

<file path=xl/worksheets/_rels/sheet3.xml.rels>&#65279;<?xml version="1.0" encoding="utf-8"?><Relationships xmlns="http://schemas.openxmlformats.org/package/2006/relationships"><Relationship Type="http://schemas.openxmlformats.org/officeDocument/2006/relationships/table" Target="/xl/tables/table3.xml" Id="R0ca163cec7314237" /></Relationships>
</file>

<file path=xl/worksheets/sheet1.xml><?xml version="1.0" encoding="utf-8"?>
<x:worksheet xmlns:x="http://schemas.openxmlformats.org/spreadsheetml/2006/main">
  <x:sheetViews>
    <x:sheetView showGridLines="1" workbookViewId="0"/>
  </x:sheetViews>
  <x:sheetFormatPr defaultColWidth="8.9921875" defaultRowHeight="13"/>
  <x:cols>
    <x:col min="1" max="1" width="5.989999771118164" style="1" hidden="0" customWidth="1"/>
    <x:col min="2" max="3" width="10.359999656677246" style="1" hidden="0" customWidth="1"/>
    <x:col min="4" max="10" width="9.260000228881836" style="1" hidden="0" customWidth="1"/>
    <x:col min="11" max="11" width="9.630000114440918" style="1" hidden="0" customWidth="1"/>
    <x:col min="12" max="12" width="13.359999656677246" style="1" hidden="0" customWidth="1"/>
    <x:col min="13" max="257" width="8.989999771118164" style="1" hidden="0" customWidth="0"/>
  </x:cols>
  <x:sheetData>
    <x:row r="1" ht="30" hidden="0" customHeight="1">
      <x:c r="B1" s="2" t="s">
        <x:v>0</x:v>
      </x:c>
      <x:c r="C1" s="2"/>
      <x:c r="D1" s="2"/>
      <x:c r="E1" s="2"/>
      <x:c r="F1" s="2"/>
      <x:c r="G1" s="2"/>
      <x:c r="H1" s="2"/>
      <x:c r="I1" s="2"/>
      <x:c r="J1" s="2"/>
      <x:c r="K1" s="2"/>
      <x:c r="L1" s="2"/>
      <x:c r="M1" s="3"/>
    </x:row>
    <x:row r="2" ht="30" hidden="0" customHeight="1">
      <x:c r="B2" s="4" t="s">
        <x:v>1</x:v>
      </x:c>
      <x:c r="C2" s="4"/>
      <x:c r="D2" s="4"/>
      <x:c r="E2" s="4"/>
      <x:c r="F2" s="4"/>
      <x:c r="G2" s="4"/>
      <x:c r="H2" s="4"/>
      <x:c r="I2" s="4"/>
      <x:c r="J2" s="4"/>
      <x:c r="K2" s="4"/>
      <x:c r="L2" s="4"/>
    </x:row>
    <x:row r="3" ht="22.5" hidden="0" customHeight="1">
      <x:c r="B3" s="5" t="s">
        <x:v>2</x:v>
      </x:c>
      <x:c r="C3" s="6"/>
      <x:c r="D3" s="7" t="s">
        <x:v>3</x:v>
      </x:c>
      <x:c r="E3" s="7"/>
      <x:c r="F3" s="7"/>
      <x:c r="G3" s="7"/>
      <x:c r="H3" s="7"/>
      <x:c r="I3" s="7"/>
      <x:c r="J3" s="7"/>
      <x:c r="K3" s="7"/>
      <x:c r="L3" s="8" t="s">
        <x:v>4</x:v>
      </x:c>
    </x:row>
    <x:row r="4" ht="22.5" hidden="0" customHeight="1">
      <x:c r="B4" s="9" t="s">
        <x:v>5</x:v>
      </x:c>
      <x:c r="C4" s="10"/>
      <x:c r="D4" s="11" t="s">
        <x:v>6</x:v>
      </x:c>
      <x:c r="E4" s="11"/>
      <x:c r="F4" s="11"/>
      <x:c r="G4" s="11"/>
      <x:c r="H4" s="11"/>
      <x:c r="I4" s="11"/>
      <x:c r="J4" s="11"/>
      <x:c r="K4" s="11"/>
      <x:c r="L4" s="12" t="s">
        <x:v>7</x:v>
      </x:c>
    </x:row>
    <x:row r="5" ht="22.5" hidden="0" customHeight="1">
      <x:c r="B5" s="13" t="s">
        <x:v>8</x:v>
      </x:c>
      <x:c r="C5" s="14"/>
      <x:c r="D5" s="15" t="s">
        <x:v>9</x:v>
      </x:c>
      <x:c r="E5" s="15" t="s">
        <x:v>10</x:v>
      </x:c>
      <x:c r="F5" s="15" t="s">
        <x:v>11</x:v>
      </x:c>
      <x:c r="G5" s="15" t="s">
        <x:v>12</x:v>
      </x:c>
      <x:c r="H5" s="15" t="s">
        <x:v>13</x:v>
      </x:c>
      <x:c r="I5" s="15" t="s">
        <x:v>14</x:v>
      </x:c>
      <x:c r="J5" s="15" t="s">
        <x:v>15</x:v>
      </x:c>
      <x:c r="K5" s="15" t="s">
        <x:v>16</x:v>
      </x:c>
      <x:c r="L5" s="16"/>
    </x:row>
    <x:row r="6" ht="22.5" hidden="0" customHeight="1">
      <x:c r="B6" s="17" t="s">
        <x:v>17</x:v>
      </x:c>
      <x:c r="C6" s="18" t="s">
        <x:v>18</x:v>
      </x:c>
      <x:c r="D6" s="18" t="s">
        <x:v>19</x:v>
      </x:c>
      <x:c r="E6" s="18"/>
      <x:c r="F6" s="18"/>
      <x:c r="G6" s="18"/>
      <x:c r="H6" s="18"/>
      <x:c r="I6" s="18"/>
      <x:c r="J6" s="18"/>
      <x:c r="K6" s="18"/>
      <x:c r="L6" s="19" t="s">
        <x:v>20</x:v>
      </x:c>
    </x:row>
    <x:row r="7" ht="13" hidden="0">
      <x:c r="B7" s="20" t="s">
        <x:v>21</x:v>
      </x:c>
      <x:c r="C7" s="21" t="s">
        <x:v>21</x:v>
      </x:c>
      <x:c r="D7" s="21" t="s">
        <x:v>21</x:v>
      </x:c>
      <x:c r="E7" s="21" t="s">
        <x:v>21</x:v>
      </x:c>
      <x:c r="F7" s="21" t="s">
        <x:v>21</x:v>
      </x:c>
      <x:c r="G7" s="21" t="s">
        <x:v>21</x:v>
      </x:c>
      <x:c r="H7" s="21" t="s">
        <x:v>21</x:v>
      </x:c>
      <x:c r="I7" s="21" t="s">
        <x:v>21</x:v>
      </x:c>
      <x:c r="J7" s="21" t="s">
        <x:v>21</x:v>
      </x:c>
      <x:c r="K7" s="21" t="s">
        <x:v>21</x:v>
      </x:c>
      <x:c r="L7" s="22" t="s">
        <x:v>21</x:v>
      </x:c>
    </x:row>
    <x:row r="8" ht="65.25" hidden="0" customHeight="1">
      <x:c r="B8" s="23" t="n">
        <x:v>105000</x:v>
      </x:c>
      <x:c r="C8" s="24" t="s">
        <x:v>22</x:v>
      </x:c>
      <x:c r="D8" s="25" t="n">
        <x:v>0</x:v>
      </x:c>
      <x:c r="E8" s="25" t="n">
        <x:v>0</x:v>
      </x:c>
      <x:c r="F8" s="25" t="n">
        <x:v>0</x:v>
      </x:c>
      <x:c r="G8" s="25" t="n">
        <x:v>0</x:v>
      </x:c>
      <x:c r="H8" s="25" t="n">
        <x:v>0</x:v>
      </x:c>
      <x:c r="I8" s="25" t="n">
        <x:v>0</x:v>
      </x:c>
      <x:c r="J8" s="25" t="n">
        <x:v>0</x:v>
      </x:c>
      <x:c r="K8" s="25" t="n">
        <x:v>0</x:v>
      </x:c>
      <x:c r="L8" s="26" t="s">
        <x:v>23</x:v>
      </x:c>
    </x:row>
    <x:row r="9" ht="13.5" hidden="0" customHeight="1">
      <x:c r="B9" s="23"/>
      <x:c r="C9" s="25"/>
      <x:c r="D9" s="25"/>
      <x:c r="E9" s="25"/>
      <x:c r="F9" s="25"/>
      <x:c r="G9" s="25"/>
      <x:c r="H9" s="25"/>
      <x:c r="I9" s="25"/>
      <x:c r="J9" s="25"/>
      <x:c r="K9" s="25"/>
      <x:c r="L9" s="27"/>
    </x:row>
    <x:row r="10" ht="13" hidden="0">
      <x:c r="A10" s="28" t="n">
        <x:v>1</x:v>
      </x:c>
      <x:c r="B10" s="29" t="n">
        <x:v>105000</x:v>
      </x:c>
      <x:c r="C10" s="30" t="n">
        <x:v>107000</x:v>
      </x:c>
      <x:c r="D10" s="30" t="n">
        <x:v>170</x:v>
      </x:c>
      <x:c r="E10" s="30" t="n">
        <x:v>0</x:v>
      </x:c>
      <x:c r="F10" s="30" t="n">
        <x:v>0</x:v>
      </x:c>
      <x:c r="G10" s="30" t="n">
        <x:v>0</x:v>
      </x:c>
      <x:c r="H10" s="30" t="n">
        <x:v>0</x:v>
      </x:c>
      <x:c r="I10" s="30" t="n">
        <x:v>0</x:v>
      </x:c>
      <x:c r="J10" s="30" t="n">
        <x:v>0</x:v>
      </x:c>
      <x:c r="K10" s="30" t="n">
        <x:v>0</x:v>
      </x:c>
      <x:c r="L10" s="31" t="n">
        <x:v>3800</x:v>
      </x:c>
    </x:row>
    <x:row r="11" ht="13" hidden="0">
      <x:c r="A11" s="28" t="n">
        <x:v>2</x:v>
      </x:c>
      <x:c r="B11" s="29" t="n">
        <x:v>107000</x:v>
      </x:c>
      <x:c r="C11" s="30" t="n">
        <x:v>109000</x:v>
      </x:c>
      <x:c r="D11" s="30" t="n">
        <x:v>280</x:v>
      </x:c>
      <x:c r="E11" s="30" t="n">
        <x:v>0</x:v>
      </x:c>
      <x:c r="F11" s="30" t="n">
        <x:v>0</x:v>
      </x:c>
      <x:c r="G11" s="30" t="n">
        <x:v>0</x:v>
      </x:c>
      <x:c r="H11" s="30" t="n">
        <x:v>0</x:v>
      </x:c>
      <x:c r="I11" s="30" t="n">
        <x:v>0</x:v>
      </x:c>
      <x:c r="J11" s="30" t="n">
        <x:v>0</x:v>
      </x:c>
      <x:c r="K11" s="30" t="n">
        <x:v>0</x:v>
      </x:c>
      <x:c r="L11" s="31" t="n">
        <x:v>3800</x:v>
      </x:c>
    </x:row>
    <x:row r="12" ht="13" hidden="0">
      <x:c r="A12" s="28" t="n">
        <x:v>3</x:v>
      </x:c>
      <x:c r="B12" s="29" t="n">
        <x:v>109000</x:v>
      </x:c>
      <x:c r="C12" s="30" t="n">
        <x:v>111000</x:v>
      </x:c>
      <x:c r="D12" s="30" t="n">
        <x:v>380</x:v>
      </x:c>
      <x:c r="E12" s="30" t="n">
        <x:v>0</x:v>
      </x:c>
      <x:c r="F12" s="30" t="n">
        <x:v>0</x:v>
      </x:c>
      <x:c r="G12" s="30" t="n">
        <x:v>0</x:v>
      </x:c>
      <x:c r="H12" s="30" t="n">
        <x:v>0</x:v>
      </x:c>
      <x:c r="I12" s="30" t="n">
        <x:v>0</x:v>
      </x:c>
      <x:c r="J12" s="30" t="n">
        <x:v>0</x:v>
      </x:c>
      <x:c r="K12" s="30" t="n">
        <x:v>0</x:v>
      </x:c>
      <x:c r="L12" s="31" t="n">
        <x:v>3900</x:v>
      </x:c>
    </x:row>
    <x:row r="13" ht="13" hidden="0">
      <x:c r="A13" s="28" t="n">
        <x:v>4</x:v>
      </x:c>
      <x:c r="B13" s="29" t="n">
        <x:v>111000</x:v>
      </x:c>
      <x:c r="C13" s="30" t="n">
        <x:v>113000</x:v>
      </x:c>
      <x:c r="D13" s="30" t="n">
        <x:v>480</x:v>
      </x:c>
      <x:c r="E13" s="30" t="n">
        <x:v>0</x:v>
      </x:c>
      <x:c r="F13" s="30" t="n">
        <x:v>0</x:v>
      </x:c>
      <x:c r="G13" s="30" t="n">
        <x:v>0</x:v>
      </x:c>
      <x:c r="H13" s="30" t="n">
        <x:v>0</x:v>
      </x:c>
      <x:c r="I13" s="30" t="n">
        <x:v>0</x:v>
      </x:c>
      <x:c r="J13" s="30" t="n">
        <x:v>0</x:v>
      </x:c>
      <x:c r="K13" s="30" t="n">
        <x:v>0</x:v>
      </x:c>
      <x:c r="L13" s="31" t="n">
        <x:v>4000</x:v>
      </x:c>
    </x:row>
    <x:row r="14" ht="13" hidden="0">
      <x:c r="A14" s="28" t="n">
        <x:v>5</x:v>
      </x:c>
      <x:c r="B14" s="29" t="n">
        <x:v>113000</x:v>
      </x:c>
      <x:c r="C14" s="30" t="n">
        <x:v>115000</x:v>
      </x:c>
      <x:c r="D14" s="30" t="n">
        <x:v>580</x:v>
      </x:c>
      <x:c r="E14" s="30" t="n">
        <x:v>0</x:v>
      </x:c>
      <x:c r="F14" s="30" t="n">
        <x:v>0</x:v>
      </x:c>
      <x:c r="G14" s="30" t="n">
        <x:v>0</x:v>
      </x:c>
      <x:c r="H14" s="30" t="n">
        <x:v>0</x:v>
      </x:c>
      <x:c r="I14" s="30" t="n">
        <x:v>0</x:v>
      </x:c>
      <x:c r="J14" s="30" t="n">
        <x:v>0</x:v>
      </x:c>
      <x:c r="K14" s="30" t="n">
        <x:v>0</x:v>
      </x:c>
      <x:c r="L14" s="31" t="n">
        <x:v>4100</x:v>
      </x:c>
    </x:row>
    <x:row r="15" ht="13" hidden="0">
      <x:c r="A15" s="28"/>
      <x:c r="B15" s="29"/>
      <x:c r="C15" s="30"/>
      <x:c r="D15" s="30"/>
      <x:c r="E15" s="30"/>
      <x:c r="F15" s="30"/>
      <x:c r="G15" s="30"/>
      <x:c r="H15" s="30"/>
      <x:c r="I15" s="30"/>
      <x:c r="J15" s="30"/>
      <x:c r="K15" s="30"/>
      <x:c r="L15" s="31"/>
    </x:row>
    <x:row r="16" ht="13" hidden="0">
      <x:c r="A16" s="28" t="n">
        <x:v>6</x:v>
      </x:c>
      <x:c r="B16" s="29" t="n">
        <x:v>115000</x:v>
      </x:c>
      <x:c r="C16" s="30" t="n">
        <x:v>117000</x:v>
      </x:c>
      <x:c r="D16" s="30" t="n">
        <x:v>680</x:v>
      </x:c>
      <x:c r="E16" s="30" t="n">
        <x:v>0</x:v>
      </x:c>
      <x:c r="F16" s="30" t="n">
        <x:v>0</x:v>
      </x:c>
      <x:c r="G16" s="30" t="n">
        <x:v>0</x:v>
      </x:c>
      <x:c r="H16" s="30" t="n">
        <x:v>0</x:v>
      </x:c>
      <x:c r="I16" s="30" t="n">
        <x:v>0</x:v>
      </x:c>
      <x:c r="J16" s="30" t="n">
        <x:v>0</x:v>
      </x:c>
      <x:c r="K16" s="30" t="n">
        <x:v>0</x:v>
      </x:c>
      <x:c r="L16" s="31" t="n">
        <x:v>4100</x:v>
      </x:c>
    </x:row>
    <x:row r="17" ht="13" hidden="0">
      <x:c r="A17" s="28" t="n">
        <x:v>7</x:v>
      </x:c>
      <x:c r="B17" s="29" t="n">
        <x:v>117000</x:v>
      </x:c>
      <x:c r="C17" s="30" t="n">
        <x:v>119000</x:v>
      </x:c>
      <x:c r="D17" s="30" t="n">
        <x:v>790</x:v>
      </x:c>
      <x:c r="E17" s="30" t="n">
        <x:v>0</x:v>
      </x:c>
      <x:c r="F17" s="30" t="n">
        <x:v>0</x:v>
      </x:c>
      <x:c r="G17" s="30" t="n">
        <x:v>0</x:v>
      </x:c>
      <x:c r="H17" s="30" t="n">
        <x:v>0</x:v>
      </x:c>
      <x:c r="I17" s="30" t="n">
        <x:v>0</x:v>
      </x:c>
      <x:c r="J17" s="30" t="n">
        <x:v>0</x:v>
      </x:c>
      <x:c r="K17" s="30" t="n">
        <x:v>0</x:v>
      </x:c>
      <x:c r="L17" s="31" t="n">
        <x:v>4200</x:v>
      </x:c>
    </x:row>
    <x:row r="18" ht="13" hidden="0">
      <x:c r="A18" s="28" t="n">
        <x:v>8</x:v>
      </x:c>
      <x:c r="B18" s="29" t="n">
        <x:v>119000</x:v>
      </x:c>
      <x:c r="C18" s="30" t="n">
        <x:v>121000</x:v>
      </x:c>
      <x:c r="D18" s="30" t="n">
        <x:v>890</x:v>
      </x:c>
      <x:c r="E18" s="30" t="n">
        <x:v>0</x:v>
      </x:c>
      <x:c r="F18" s="30" t="n">
        <x:v>0</x:v>
      </x:c>
      <x:c r="G18" s="30" t="n">
        <x:v>0</x:v>
      </x:c>
      <x:c r="H18" s="30" t="n">
        <x:v>0</x:v>
      </x:c>
      <x:c r="I18" s="30" t="n">
        <x:v>0</x:v>
      </x:c>
      <x:c r="J18" s="30" t="n">
        <x:v>0</x:v>
      </x:c>
      <x:c r="K18" s="30" t="n">
        <x:v>0</x:v>
      </x:c>
      <x:c r="L18" s="31" t="n">
        <x:v>4300</x:v>
      </x:c>
    </x:row>
    <x:row r="19" ht="13" hidden="0">
      <x:c r="A19" s="28" t="n">
        <x:v>9</x:v>
      </x:c>
      <x:c r="B19" s="29" t="n">
        <x:v>121000</x:v>
      </x:c>
      <x:c r="C19" s="30" t="n">
        <x:v>123000</x:v>
      </x:c>
      <x:c r="D19" s="30" t="n">
        <x:v>990</x:v>
      </x:c>
      <x:c r="E19" s="30" t="n">
        <x:v>0</x:v>
      </x:c>
      <x:c r="F19" s="30" t="n">
        <x:v>0</x:v>
      </x:c>
      <x:c r="G19" s="30" t="n">
        <x:v>0</x:v>
      </x:c>
      <x:c r="H19" s="30" t="n">
        <x:v>0</x:v>
      </x:c>
      <x:c r="I19" s="30" t="n">
        <x:v>0</x:v>
      </x:c>
      <x:c r="J19" s="30" t="n">
        <x:v>0</x:v>
      </x:c>
      <x:c r="K19" s="30" t="n">
        <x:v>0</x:v>
      </x:c>
      <x:c r="L19" s="31" t="n">
        <x:v>4300</x:v>
      </x:c>
    </x:row>
    <x:row r="20" ht="13" hidden="0">
      <x:c r="A20" s="28" t="n">
        <x:v>10</x:v>
      </x:c>
      <x:c r="B20" s="29" t="n">
        <x:v>123000</x:v>
      </x:c>
      <x:c r="C20" s="30" t="n">
        <x:v>125000</x:v>
      </x:c>
      <x:c r="D20" s="30" t="n">
        <x:v>1090</x:v>
      </x:c>
      <x:c r="E20" s="30" t="n">
        <x:v>0</x:v>
      </x:c>
      <x:c r="F20" s="30" t="n">
        <x:v>0</x:v>
      </x:c>
      <x:c r="G20" s="30" t="n">
        <x:v>0</x:v>
      </x:c>
      <x:c r="H20" s="30" t="n">
        <x:v>0</x:v>
      </x:c>
      <x:c r="I20" s="30" t="n">
        <x:v>0</x:v>
      </x:c>
      <x:c r="J20" s="30" t="n">
        <x:v>0</x:v>
      </x:c>
      <x:c r="K20" s="30" t="n">
        <x:v>0</x:v>
      </x:c>
      <x:c r="L20" s="31" t="n">
        <x:v>4400</x:v>
      </x:c>
    </x:row>
    <x:row r="21" ht="13" hidden="0">
      <x:c r="A21" s="28"/>
      <x:c r="B21" s="29"/>
      <x:c r="C21" s="30"/>
      <x:c r="D21" s="30"/>
      <x:c r="E21" s="30"/>
      <x:c r="F21" s="30"/>
      <x:c r="G21" s="30"/>
      <x:c r="H21" s="30"/>
      <x:c r="I21" s="30"/>
      <x:c r="J21" s="30"/>
      <x:c r="K21" s="30"/>
      <x:c r="L21" s="31"/>
    </x:row>
    <x:row r="22" ht="13" hidden="0">
      <x:c r="A22" s="28" t="n">
        <x:v>11</x:v>
      </x:c>
      <x:c r="B22" s="29" t="n">
        <x:v>125000</x:v>
      </x:c>
      <x:c r="C22" s="30" t="n">
        <x:v>127000</x:v>
      </x:c>
      <x:c r="D22" s="30" t="n">
        <x:v>1190</x:v>
      </x:c>
      <x:c r="E22" s="30" t="n">
        <x:v>0</x:v>
      </x:c>
      <x:c r="F22" s="30" t="n">
        <x:v>0</x:v>
      </x:c>
      <x:c r="G22" s="30" t="n">
        <x:v>0</x:v>
      </x:c>
      <x:c r="H22" s="30" t="n">
        <x:v>0</x:v>
      </x:c>
      <x:c r="I22" s="30" t="n">
        <x:v>0</x:v>
      </x:c>
      <x:c r="J22" s="30" t="n">
        <x:v>0</x:v>
      </x:c>
      <x:c r="K22" s="30" t="n">
        <x:v>0</x:v>
      </x:c>
      <x:c r="L22" s="31" t="n">
        <x:v>4700</x:v>
      </x:c>
    </x:row>
    <x:row r="23" ht="13" hidden="0">
      <x:c r="A23" s="28" t="n">
        <x:v>12</x:v>
      </x:c>
      <x:c r="B23" s="29" t="n">
        <x:v>127000</x:v>
      </x:c>
      <x:c r="C23" s="30" t="n">
        <x:v>129000</x:v>
      </x:c>
      <x:c r="D23" s="30" t="n">
        <x:v>1300</x:v>
      </x:c>
      <x:c r="E23" s="30" t="n">
        <x:v>0</x:v>
      </x:c>
      <x:c r="F23" s="30" t="n">
        <x:v>0</x:v>
      </x:c>
      <x:c r="G23" s="30" t="n">
        <x:v>0</x:v>
      </x:c>
      <x:c r="H23" s="30" t="n">
        <x:v>0</x:v>
      </x:c>
      <x:c r="I23" s="30" t="n">
        <x:v>0</x:v>
      </x:c>
      <x:c r="J23" s="30" t="n">
        <x:v>0</x:v>
      </x:c>
      <x:c r="K23" s="30" t="n">
        <x:v>0</x:v>
      </x:c>
      <x:c r="L23" s="31" t="n">
        <x:v>5000</x:v>
      </x:c>
    </x:row>
    <x:row r="24" ht="13" hidden="0">
      <x:c r="A24" s="28" t="n">
        <x:v>13</x:v>
      </x:c>
      <x:c r="B24" s="29" t="n">
        <x:v>129000</x:v>
      </x:c>
      <x:c r="C24" s="30" t="n">
        <x:v>131000</x:v>
      </x:c>
      <x:c r="D24" s="30" t="n">
        <x:v>1400</x:v>
      </x:c>
      <x:c r="E24" s="30" t="n">
        <x:v>0</x:v>
      </x:c>
      <x:c r="F24" s="30" t="n">
        <x:v>0</x:v>
      </x:c>
      <x:c r="G24" s="30" t="n">
        <x:v>0</x:v>
      </x:c>
      <x:c r="H24" s="30" t="n">
        <x:v>0</x:v>
      </x:c>
      <x:c r="I24" s="30" t="n">
        <x:v>0</x:v>
      </x:c>
      <x:c r="J24" s="30" t="n">
        <x:v>0</x:v>
      </x:c>
      <x:c r="K24" s="30" t="n">
        <x:v>0</x:v>
      </x:c>
      <x:c r="L24" s="31" t="n">
        <x:v>5300</x:v>
      </x:c>
    </x:row>
    <x:row r="25" ht="13" hidden="0">
      <x:c r="A25" s="28" t="n">
        <x:v>14</x:v>
      </x:c>
      <x:c r="B25" s="29" t="n">
        <x:v>131000</x:v>
      </x:c>
      <x:c r="C25" s="30" t="n">
        <x:v>133000</x:v>
      </x:c>
      <x:c r="D25" s="32" t="n">
        <x:v>1500</x:v>
      </x:c>
      <x:c r="E25" s="32" t="n">
        <x:v>0</x:v>
      </x:c>
      <x:c r="F25" s="32" t="n">
        <x:v>0</x:v>
      </x:c>
      <x:c r="G25" s="32" t="n">
        <x:v>0</x:v>
      </x:c>
      <x:c r="H25" s="32" t="n">
        <x:v>0</x:v>
      </x:c>
      <x:c r="I25" s="32" t="n">
        <x:v>0</x:v>
      </x:c>
      <x:c r="J25" s="32" t="n">
        <x:v>0</x:v>
      </x:c>
      <x:c r="K25" s="32" t="n">
        <x:v>0</x:v>
      </x:c>
      <x:c r="L25" s="31" t="n">
        <x:v>5500</x:v>
      </x:c>
    </x:row>
    <x:row r="26" ht="13" hidden="0">
      <x:c r="A26" s="28" t="n">
        <x:v>15</x:v>
      </x:c>
      <x:c r="B26" s="29" t="n">
        <x:v>133000</x:v>
      </x:c>
      <x:c r="C26" s="30" t="n">
        <x:v>135000</x:v>
      </x:c>
      <x:c r="D26" s="32" t="n">
        <x:v>1600</x:v>
      </x:c>
      <x:c r="E26" s="32" t="n">
        <x:v>0</x:v>
      </x:c>
      <x:c r="F26" s="32" t="n">
        <x:v>0</x:v>
      </x:c>
      <x:c r="G26" s="32" t="n">
        <x:v>0</x:v>
      </x:c>
      <x:c r="H26" s="32" t="n">
        <x:v>0</x:v>
      </x:c>
      <x:c r="I26" s="32" t="n">
        <x:v>0</x:v>
      </x:c>
      <x:c r="J26" s="32" t="n">
        <x:v>0</x:v>
      </x:c>
      <x:c r="K26" s="32" t="n">
        <x:v>0</x:v>
      </x:c>
      <x:c r="L26" s="31" t="n">
        <x:v>5800</x:v>
      </x:c>
    </x:row>
    <x:row r="27" ht="13" hidden="0">
      <x:c r="A27" s="28"/>
      <x:c r="B27" s="29"/>
      <x:c r="C27" s="30"/>
      <x:c r="D27" s="32"/>
      <x:c r="E27" s="32"/>
      <x:c r="F27" s="32"/>
      <x:c r="G27" s="32"/>
      <x:c r="H27" s="32"/>
      <x:c r="I27" s="32"/>
      <x:c r="J27" s="32"/>
      <x:c r="K27" s="32"/>
      <x:c r="L27" s="31"/>
    </x:row>
    <x:row r="28" ht="13" hidden="0">
      <x:c r="A28" s="28" t="n">
        <x:v>16</x:v>
      </x:c>
      <x:c r="B28" s="29" t="n">
        <x:v>135000</x:v>
      </x:c>
      <x:c r="C28" s="30" t="n">
        <x:v>137000</x:v>
      </x:c>
      <x:c r="D28" s="32" t="n">
        <x:v>1710</x:v>
      </x:c>
      <x:c r="E28" s="32" t="n">
        <x:v>0</x:v>
      </x:c>
      <x:c r="F28" s="32" t="n">
        <x:v>0</x:v>
      </x:c>
      <x:c r="G28" s="32" t="n">
        <x:v>0</x:v>
      </x:c>
      <x:c r="H28" s="32" t="n">
        <x:v>0</x:v>
      </x:c>
      <x:c r="I28" s="32" t="n">
        <x:v>0</x:v>
      </x:c>
      <x:c r="J28" s="32" t="n">
        <x:v>0</x:v>
      </x:c>
      <x:c r="K28" s="32" t="n">
        <x:v>0</x:v>
      </x:c>
      <x:c r="L28" s="31" t="n">
        <x:v>6100</x:v>
      </x:c>
    </x:row>
    <x:row r="29" ht="13" hidden="0">
      <x:c r="A29" s="28" t="n">
        <x:v>17</x:v>
      </x:c>
      <x:c r="B29" s="29" t="n">
        <x:v>137000</x:v>
      </x:c>
      <x:c r="C29" s="30" t="n">
        <x:v>139000</x:v>
      </x:c>
      <x:c r="D29" s="32" t="n">
        <x:v>1810</x:v>
      </x:c>
      <x:c r="E29" s="32" t="n">
        <x:v>190</x:v>
      </x:c>
      <x:c r="F29" s="32" t="n">
        <x:v>0</x:v>
      </x:c>
      <x:c r="G29" s="32" t="n">
        <x:v>0</x:v>
      </x:c>
      <x:c r="H29" s="32" t="n">
        <x:v>0</x:v>
      </x:c>
      <x:c r="I29" s="32" t="n">
        <x:v>0</x:v>
      </x:c>
      <x:c r="J29" s="32" t="n">
        <x:v>0</x:v>
      </x:c>
      <x:c r="K29" s="32" t="n">
        <x:v>0</x:v>
      </x:c>
      <x:c r="L29" s="31" t="n">
        <x:v>6400</x:v>
      </x:c>
    </x:row>
    <x:row r="30" ht="13" hidden="0">
      <x:c r="A30" s="28" t="n">
        <x:v>18</x:v>
      </x:c>
      <x:c r="B30" s="29" t="n">
        <x:v>139000</x:v>
      </x:c>
      <x:c r="C30" s="30" t="n">
        <x:v>141000</x:v>
      </x:c>
      <x:c r="D30" s="32" t="n">
        <x:v>1910</x:v>
      </x:c>
      <x:c r="E30" s="32" t="n">
        <x:v>300</x:v>
      </x:c>
      <x:c r="F30" s="32" t="n">
        <x:v>0</x:v>
      </x:c>
      <x:c r="G30" s="32" t="n">
        <x:v>0</x:v>
      </x:c>
      <x:c r="H30" s="32" t="n">
        <x:v>0</x:v>
      </x:c>
      <x:c r="I30" s="32" t="n">
        <x:v>0</x:v>
      </x:c>
      <x:c r="J30" s="32" t="n">
        <x:v>0</x:v>
      </x:c>
      <x:c r="K30" s="32" t="n">
        <x:v>0</x:v>
      </x:c>
      <x:c r="L30" s="31" t="n">
        <x:v>6700</x:v>
      </x:c>
    </x:row>
    <x:row r="31" ht="13" hidden="0">
      <x:c r="A31" s="28" t="n">
        <x:v>19</x:v>
      </x:c>
      <x:c r="B31" s="29" t="n">
        <x:v>141000</x:v>
      </x:c>
      <x:c r="C31" s="30" t="n">
        <x:v>143000</x:v>
      </x:c>
      <x:c r="D31" s="32" t="n">
        <x:v>2010</x:v>
      </x:c>
      <x:c r="E31" s="32" t="n">
        <x:v>400</x:v>
      </x:c>
      <x:c r="F31" s="32" t="n">
        <x:v>0</x:v>
      </x:c>
      <x:c r="G31" s="32" t="n">
        <x:v>0</x:v>
      </x:c>
      <x:c r="H31" s="32" t="n">
        <x:v>0</x:v>
      </x:c>
      <x:c r="I31" s="32" t="n">
        <x:v>0</x:v>
      </x:c>
      <x:c r="J31" s="32" t="n">
        <x:v>0</x:v>
      </x:c>
      <x:c r="K31" s="32" t="n">
        <x:v>0</x:v>
      </x:c>
      <x:c r="L31" s="31" t="n">
        <x:v>7000</x:v>
      </x:c>
    </x:row>
    <x:row r="32" ht="13" hidden="0">
      <x:c r="A32" s="28" t="n">
        <x:v>20</x:v>
      </x:c>
      <x:c r="B32" s="29" t="n">
        <x:v>143000</x:v>
      </x:c>
      <x:c r="C32" s="30" t="n">
        <x:v>145000</x:v>
      </x:c>
      <x:c r="D32" s="32" t="n">
        <x:v>2110</x:v>
      </x:c>
      <x:c r="E32" s="32" t="n">
        <x:v>500</x:v>
      </x:c>
      <x:c r="F32" s="32" t="n">
        <x:v>0</x:v>
      </x:c>
      <x:c r="G32" s="32" t="n">
        <x:v>0</x:v>
      </x:c>
      <x:c r="H32" s="32" t="n">
        <x:v>0</x:v>
      </x:c>
      <x:c r="I32" s="32" t="n">
        <x:v>0</x:v>
      </x:c>
      <x:c r="J32" s="32" t="n">
        <x:v>0</x:v>
      </x:c>
      <x:c r="K32" s="32" t="n">
        <x:v>0</x:v>
      </x:c>
      <x:c r="L32" s="31" t="n">
        <x:v>7400</x:v>
      </x:c>
    </x:row>
    <x:row r="33" ht="13" hidden="0">
      <x:c r="A33" s="28"/>
      <x:c r="B33" s="29"/>
      <x:c r="C33" s="30"/>
      <x:c r="D33" s="32"/>
      <x:c r="E33" s="32"/>
      <x:c r="F33" s="32"/>
      <x:c r="G33" s="32"/>
      <x:c r="H33" s="32"/>
      <x:c r="I33" s="32"/>
      <x:c r="J33" s="32"/>
      <x:c r="K33" s="32"/>
      <x:c r="L33" s="31"/>
    </x:row>
    <x:row r="34" ht="13" hidden="0">
      <x:c r="A34" s="28" t="n">
        <x:v>21</x:v>
      </x:c>
      <x:c r="B34" s="29" t="n">
        <x:v>145000</x:v>
      </x:c>
      <x:c r="C34" s="30" t="n">
        <x:v>147000</x:v>
      </x:c>
      <x:c r="D34" s="32" t="n">
        <x:v>2220</x:v>
      </x:c>
      <x:c r="E34" s="32" t="n">
        <x:v>600</x:v>
      </x:c>
      <x:c r="F34" s="32" t="n">
        <x:v>0</x:v>
      </x:c>
      <x:c r="G34" s="32" t="n">
        <x:v>0</x:v>
      </x:c>
      <x:c r="H34" s="32" t="n">
        <x:v>0</x:v>
      </x:c>
      <x:c r="I34" s="32" t="n">
        <x:v>0</x:v>
      </x:c>
      <x:c r="J34" s="32" t="n">
        <x:v>0</x:v>
      </x:c>
      <x:c r="K34" s="32" t="n">
        <x:v>0</x:v>
      </x:c>
      <x:c r="L34" s="31" t="n">
        <x:v>7700</x:v>
      </x:c>
    </x:row>
    <x:row r="35" ht="13" hidden="0">
      <x:c r="A35" s="28" t="n">
        <x:v>22</x:v>
      </x:c>
      <x:c r="B35" s="29" t="n">
        <x:v>147000</x:v>
      </x:c>
      <x:c r="C35" s="30" t="n">
        <x:v>149000</x:v>
      </x:c>
      <x:c r="D35" s="32" t="n">
        <x:v>2320</x:v>
      </x:c>
      <x:c r="E35" s="32" t="n">
        <x:v>700</x:v>
      </x:c>
      <x:c r="F35" s="32" t="n">
        <x:v>0</x:v>
      </x:c>
      <x:c r="G35" s="32" t="n">
        <x:v>0</x:v>
      </x:c>
      <x:c r="H35" s="32" t="n">
        <x:v>0</x:v>
      </x:c>
      <x:c r="I35" s="32" t="n">
        <x:v>0</x:v>
      </x:c>
      <x:c r="J35" s="32" t="n">
        <x:v>0</x:v>
      </x:c>
      <x:c r="K35" s="32" t="n">
        <x:v>0</x:v>
      </x:c>
      <x:c r="L35" s="31" t="n">
        <x:v>8000</x:v>
      </x:c>
    </x:row>
    <x:row r="36" ht="13" hidden="0">
      <x:c r="A36" s="28" t="n">
        <x:v>23</x:v>
      </x:c>
      <x:c r="B36" s="29" t="n">
        <x:v>149000</x:v>
      </x:c>
      <x:c r="C36" s="30" t="n">
        <x:v>151000</x:v>
      </x:c>
      <x:c r="D36" s="32" t="n">
        <x:v>2420</x:v>
      </x:c>
      <x:c r="E36" s="32" t="n">
        <x:v>810</x:v>
      </x:c>
      <x:c r="F36" s="32" t="n">
        <x:v>0</x:v>
      </x:c>
      <x:c r="G36" s="32" t="n">
        <x:v>0</x:v>
      </x:c>
      <x:c r="H36" s="32" t="n">
        <x:v>0</x:v>
      </x:c>
      <x:c r="I36" s="32" t="n">
        <x:v>0</x:v>
      </x:c>
      <x:c r="J36" s="32" t="n">
        <x:v>0</x:v>
      </x:c>
      <x:c r="K36" s="32" t="n">
        <x:v>0</x:v>
      </x:c>
      <x:c r="L36" s="31" t="n">
        <x:v>8300</x:v>
      </x:c>
    </x:row>
    <x:row r="37" ht="13" hidden="0">
      <x:c r="A37" s="28" t="n">
        <x:v>24</x:v>
      </x:c>
      <x:c r="B37" s="29" t="n">
        <x:v>151000</x:v>
      </x:c>
      <x:c r="C37" s="30" t="n">
        <x:v>153000</x:v>
      </x:c>
      <x:c r="D37" s="32" t="n">
        <x:v>2520</x:v>
      </x:c>
      <x:c r="E37" s="32" t="n">
        <x:v>910</x:v>
      </x:c>
      <x:c r="F37" s="32" t="n">
        <x:v>0</x:v>
      </x:c>
      <x:c r="G37" s="32" t="n">
        <x:v>0</x:v>
      </x:c>
      <x:c r="H37" s="32" t="n">
        <x:v>0</x:v>
      </x:c>
      <x:c r="I37" s="32" t="n">
        <x:v>0</x:v>
      </x:c>
      <x:c r="J37" s="32" t="n">
        <x:v>0</x:v>
      </x:c>
      <x:c r="K37" s="32" t="n">
        <x:v>0</x:v>
      </x:c>
      <x:c r="L37" s="31" t="n">
        <x:v>8600</x:v>
      </x:c>
    </x:row>
    <x:row r="38" ht="13" hidden="0">
      <x:c r="A38" s="28" t="n">
        <x:v>25</x:v>
      </x:c>
      <x:c r="B38" s="29" t="n">
        <x:v>153000</x:v>
      </x:c>
      <x:c r="C38" s="30" t="n">
        <x:v>155000</x:v>
      </x:c>
      <x:c r="D38" s="32" t="n">
        <x:v>2620</x:v>
      </x:c>
      <x:c r="E38" s="32" t="n">
        <x:v>1010</x:v>
      </x:c>
      <x:c r="F38" s="32" t="n">
        <x:v>0</x:v>
      </x:c>
      <x:c r="G38" s="32" t="n">
        <x:v>0</x:v>
      </x:c>
      <x:c r="H38" s="32" t="n">
        <x:v>0</x:v>
      </x:c>
      <x:c r="I38" s="32" t="n">
        <x:v>0</x:v>
      </x:c>
      <x:c r="J38" s="32" t="n">
        <x:v>0</x:v>
      </x:c>
      <x:c r="K38" s="32" t="n">
        <x:v>0</x:v>
      </x:c>
      <x:c r="L38" s="31" t="n">
        <x:v>8900</x:v>
      </x:c>
    </x:row>
    <x:row r="39" ht="13" hidden="0">
      <x:c r="A39" s="28"/>
      <x:c r="B39" s="29"/>
      <x:c r="C39" s="30"/>
      <x:c r="D39" s="32"/>
      <x:c r="E39" s="32"/>
      <x:c r="F39" s="32"/>
      <x:c r="G39" s="32"/>
      <x:c r="H39" s="32"/>
      <x:c r="I39" s="32"/>
      <x:c r="J39" s="32"/>
      <x:c r="K39" s="32"/>
      <x:c r="L39" s="31"/>
    </x:row>
    <x:row r="40" ht="13" hidden="0">
      <x:c r="A40" s="28" t="n">
        <x:v>26</x:v>
      </x:c>
      <x:c r="B40" s="29" t="n">
        <x:v>155000</x:v>
      </x:c>
      <x:c r="C40" s="30" t="n">
        <x:v>157000</x:v>
      </x:c>
      <x:c r="D40" s="32" t="n">
        <x:v>2730</x:v>
      </x:c>
      <x:c r="E40" s="32" t="n">
        <x:v>1110</x:v>
      </x:c>
      <x:c r="F40" s="32" t="n">
        <x:v>0</x:v>
      </x:c>
      <x:c r="G40" s="32" t="n">
        <x:v>0</x:v>
      </x:c>
      <x:c r="H40" s="32" t="n">
        <x:v>0</x:v>
      </x:c>
      <x:c r="I40" s="32" t="n">
        <x:v>0</x:v>
      </x:c>
      <x:c r="J40" s="32" t="n">
        <x:v>0</x:v>
      </x:c>
      <x:c r="K40" s="32" t="n">
        <x:v>0</x:v>
      </x:c>
      <x:c r="L40" s="31" t="n">
        <x:v>9200</x:v>
      </x:c>
    </x:row>
    <x:row r="41" ht="13" hidden="0">
      <x:c r="A41" s="28" t="n">
        <x:v>27</x:v>
      </x:c>
      <x:c r="B41" s="29" t="n">
        <x:v>157000</x:v>
      </x:c>
      <x:c r="C41" s="30" t="n">
        <x:v>159000</x:v>
      </x:c>
      <x:c r="D41" s="32" t="n">
        <x:v>2830</x:v>
      </x:c>
      <x:c r="E41" s="32" t="n">
        <x:v>1210</x:v>
      </x:c>
      <x:c r="F41" s="32" t="n">
        <x:v>0</x:v>
      </x:c>
      <x:c r="G41" s="32" t="n">
        <x:v>0</x:v>
      </x:c>
      <x:c r="H41" s="32" t="n">
        <x:v>0</x:v>
      </x:c>
      <x:c r="I41" s="32" t="n">
        <x:v>0</x:v>
      </x:c>
      <x:c r="J41" s="32" t="n">
        <x:v>0</x:v>
      </x:c>
      <x:c r="K41" s="32" t="n">
        <x:v>0</x:v>
      </x:c>
      <x:c r="L41" s="31" t="n">
        <x:v>9500</x:v>
      </x:c>
    </x:row>
    <x:row r="42" ht="13" hidden="0">
      <x:c r="A42" s="28" t="n">
        <x:v>28</x:v>
      </x:c>
      <x:c r="B42" s="29" t="n">
        <x:v>159000</x:v>
      </x:c>
      <x:c r="C42" s="30" t="n">
        <x:v>161000</x:v>
      </x:c>
      <x:c r="D42" s="32" t="n">
        <x:v>2910</x:v>
      </x:c>
      <x:c r="E42" s="32" t="n">
        <x:v>1300</x:v>
      </x:c>
      <x:c r="F42" s="32" t="n">
        <x:v>0</x:v>
      </x:c>
      <x:c r="G42" s="32" t="n">
        <x:v>0</x:v>
      </x:c>
      <x:c r="H42" s="32" t="n">
        <x:v>0</x:v>
      </x:c>
      <x:c r="I42" s="32" t="n">
        <x:v>0</x:v>
      </x:c>
      <x:c r="J42" s="32" t="n">
        <x:v>0</x:v>
      </x:c>
      <x:c r="K42" s="32" t="n">
        <x:v>0</x:v>
      </x:c>
      <x:c r="L42" s="31" t="n">
        <x:v>9800</x:v>
      </x:c>
    </x:row>
    <x:row r="43" ht="13" hidden="0">
      <x:c r="A43" s="28" t="n">
        <x:v>29</x:v>
      </x:c>
      <x:c r="B43" s="29" t="n">
        <x:v>161000</x:v>
      </x:c>
      <x:c r="C43" s="30" t="n">
        <x:v>163000</x:v>
      </x:c>
      <x:c r="D43" s="32" t="n">
        <x:v>2980</x:v>
      </x:c>
      <x:c r="E43" s="32" t="n">
        <x:v>1370</x:v>
      </x:c>
      <x:c r="F43" s="32" t="n">
        <x:v>0</x:v>
      </x:c>
      <x:c r="G43" s="32" t="n">
        <x:v>0</x:v>
      </x:c>
      <x:c r="H43" s="32" t="n">
        <x:v>0</x:v>
      </x:c>
      <x:c r="I43" s="32" t="n">
        <x:v>0</x:v>
      </x:c>
      <x:c r="J43" s="32" t="n">
        <x:v>0</x:v>
      </x:c>
      <x:c r="K43" s="32" t="n">
        <x:v>0</x:v>
      </x:c>
      <x:c r="L43" s="31" t="n">
        <x:v>10100</x:v>
      </x:c>
    </x:row>
    <x:row r="44" ht="13" hidden="0">
      <x:c r="A44" s="28" t="n">
        <x:v>30</x:v>
      </x:c>
      <x:c r="B44" s="29" t="n">
        <x:v>163000</x:v>
      </x:c>
      <x:c r="C44" s="30" t="n">
        <x:v>165000</x:v>
      </x:c>
      <x:c r="D44" s="32" t="n">
        <x:v>3050</x:v>
      </x:c>
      <x:c r="E44" s="32" t="n">
        <x:v>1440</x:v>
      </x:c>
      <x:c r="F44" s="32" t="n">
        <x:v>0</x:v>
      </x:c>
      <x:c r="G44" s="32" t="n">
        <x:v>0</x:v>
      </x:c>
      <x:c r="H44" s="32" t="n">
        <x:v>0</x:v>
      </x:c>
      <x:c r="I44" s="32" t="n">
        <x:v>0</x:v>
      </x:c>
      <x:c r="J44" s="32" t="n">
        <x:v>0</x:v>
      </x:c>
      <x:c r="K44" s="32" t="n">
        <x:v>0</x:v>
      </x:c>
      <x:c r="L44" s="31" t="n">
        <x:v>10400</x:v>
      </x:c>
    </x:row>
    <x:row r="45" ht="13" hidden="0">
      <x:c r="A45" s="28"/>
      <x:c r="B45" s="29"/>
      <x:c r="C45" s="30"/>
      <x:c r="D45" s="32"/>
      <x:c r="E45" s="32"/>
      <x:c r="F45" s="32"/>
      <x:c r="G45" s="32"/>
      <x:c r="H45" s="32"/>
      <x:c r="I45" s="32"/>
      <x:c r="J45" s="32"/>
      <x:c r="K45" s="32"/>
      <x:c r="L45" s="31"/>
    </x:row>
    <x:row r="46" ht="13" hidden="0">
      <x:c r="A46" s="28" t="n">
        <x:v>31</x:v>
      </x:c>
      <x:c r="B46" s="29" t="n">
        <x:v>165000</x:v>
      </x:c>
      <x:c r="C46" s="30" t="n">
        <x:v>167000</x:v>
      </x:c>
      <x:c r="D46" s="32" t="n">
        <x:v>3120</x:v>
      </x:c>
      <x:c r="E46" s="32" t="n">
        <x:v>1510</x:v>
      </x:c>
      <x:c r="F46" s="32" t="n">
        <x:v>0</x:v>
      </x:c>
      <x:c r="G46" s="32" t="n">
        <x:v>0</x:v>
      </x:c>
      <x:c r="H46" s="32" t="n">
        <x:v>0</x:v>
      </x:c>
      <x:c r="I46" s="32" t="n">
        <x:v>0</x:v>
      </x:c>
      <x:c r="J46" s="32" t="n">
        <x:v>0</x:v>
      </x:c>
      <x:c r="K46" s="32" t="n">
        <x:v>0</x:v>
      </x:c>
      <x:c r="L46" s="31" t="n">
        <x:v>10700</x:v>
      </x:c>
    </x:row>
    <x:row r="47" ht="13" hidden="0">
      <x:c r="A47" s="28" t="n">
        <x:v>32</x:v>
      </x:c>
      <x:c r="B47" s="29" t="n">
        <x:v>167000</x:v>
      </x:c>
      <x:c r="C47" s="30" t="n">
        <x:v>169000</x:v>
      </x:c>
      <x:c r="D47" s="32" t="n">
        <x:v>3200</x:v>
      </x:c>
      <x:c r="E47" s="32" t="n">
        <x:v>1580</x:v>
      </x:c>
      <x:c r="F47" s="32" t="n">
        <x:v>0</x:v>
      </x:c>
      <x:c r="G47" s="32" t="n">
        <x:v>0</x:v>
      </x:c>
      <x:c r="H47" s="32" t="n">
        <x:v>0</x:v>
      </x:c>
      <x:c r="I47" s="32" t="n">
        <x:v>0</x:v>
      </x:c>
      <x:c r="J47" s="32" t="n">
        <x:v>0</x:v>
      </x:c>
      <x:c r="K47" s="32" t="n">
        <x:v>0</x:v>
      </x:c>
      <x:c r="L47" s="31" t="n">
        <x:v>11000</x:v>
      </x:c>
    </x:row>
    <x:row r="48" ht="13" hidden="0">
      <x:c r="A48" s="28" t="n">
        <x:v>33</x:v>
      </x:c>
      <x:c r="B48" s="29" t="n">
        <x:v>169000</x:v>
      </x:c>
      <x:c r="C48" s="30" t="n">
        <x:v>171000</x:v>
      </x:c>
      <x:c r="D48" s="32" t="n">
        <x:v>3270</x:v>
      </x:c>
      <x:c r="E48" s="32" t="n">
        <x:v>1650</x:v>
      </x:c>
      <x:c r="F48" s="32" t="n">
        <x:v>0</x:v>
      </x:c>
      <x:c r="G48" s="32" t="n">
        <x:v>0</x:v>
      </x:c>
      <x:c r="H48" s="32" t="n">
        <x:v>0</x:v>
      </x:c>
      <x:c r="I48" s="32" t="n">
        <x:v>0</x:v>
      </x:c>
      <x:c r="J48" s="32" t="n">
        <x:v>0</x:v>
      </x:c>
      <x:c r="K48" s="32" t="n">
        <x:v>0</x:v>
      </x:c>
      <x:c r="L48" s="31" t="n">
        <x:v>11300</x:v>
      </x:c>
    </x:row>
    <x:row r="49" ht="13" hidden="0">
      <x:c r="A49" s="28" t="n">
        <x:v>34</x:v>
      </x:c>
      <x:c r="B49" s="29" t="n">
        <x:v>171000</x:v>
      </x:c>
      <x:c r="C49" s="30" t="n">
        <x:v>173000</x:v>
      </x:c>
      <x:c r="D49" s="32" t="n">
        <x:v>3340</x:v>
      </x:c>
      <x:c r="E49" s="32" t="n">
        <x:v>1730</x:v>
      </x:c>
      <x:c r="F49" s="32" t="n">
        <x:v>100</x:v>
      </x:c>
      <x:c r="G49" s="32" t="n">
        <x:v>0</x:v>
      </x:c>
      <x:c r="H49" s="32" t="n">
        <x:v>0</x:v>
      </x:c>
      <x:c r="I49" s="32" t="n">
        <x:v>0</x:v>
      </x:c>
      <x:c r="J49" s="32" t="n">
        <x:v>0</x:v>
      </x:c>
      <x:c r="K49" s="32" t="n">
        <x:v>0</x:v>
      </x:c>
      <x:c r="L49" s="31" t="n">
        <x:v>11500</x:v>
      </x:c>
    </x:row>
    <x:row r="50" ht="13" hidden="0">
      <x:c r="A50" s="28" t="n">
        <x:v>35</x:v>
      </x:c>
      <x:c r="B50" s="29" t="n">
        <x:v>173000</x:v>
      </x:c>
      <x:c r="C50" s="30" t="n">
        <x:v>175000</x:v>
      </x:c>
      <x:c r="D50" s="32" t="n">
        <x:v>3410</x:v>
      </x:c>
      <x:c r="E50" s="32" t="n">
        <x:v>1800</x:v>
      </x:c>
      <x:c r="F50" s="32" t="n">
        <x:v>170</x:v>
      </x:c>
      <x:c r="G50" s="32" t="n">
        <x:v>0</x:v>
      </x:c>
      <x:c r="H50" s="32" t="n">
        <x:v>0</x:v>
      </x:c>
      <x:c r="I50" s="32" t="n">
        <x:v>0</x:v>
      </x:c>
      <x:c r="J50" s="32" t="n">
        <x:v>0</x:v>
      </x:c>
      <x:c r="K50" s="32" t="n">
        <x:v>0</x:v>
      </x:c>
      <x:c r="L50" s="31" t="n">
        <x:v>11800</x:v>
      </x:c>
    </x:row>
    <x:row r="51" ht="13" hidden="0">
      <x:c r="A51" s="28"/>
      <x:c r="B51" s="29"/>
      <x:c r="C51" s="30"/>
      <x:c r="D51" s="32"/>
      <x:c r="E51" s="32"/>
      <x:c r="F51" s="32"/>
      <x:c r="G51" s="32"/>
      <x:c r="H51" s="32"/>
      <x:c r="I51" s="32"/>
      <x:c r="J51" s="32"/>
      <x:c r="K51" s="32"/>
      <x:c r="L51" s="31"/>
    </x:row>
    <x:row r="52" ht="13" hidden="0">
      <x:c r="A52" s="28" t="n">
        <x:v>36</x:v>
      </x:c>
      <x:c r="B52" s="29" t="n">
        <x:v>175000</x:v>
      </x:c>
      <x:c r="C52" s="30" t="n">
        <x:v>177000</x:v>
      </x:c>
      <x:c r="D52" s="32" t="n">
        <x:v>3480</x:v>
      </x:c>
      <x:c r="E52" s="32" t="n">
        <x:v>1870</x:v>
      </x:c>
      <x:c r="F52" s="32" t="n">
        <x:v>250</x:v>
      </x:c>
      <x:c r="G52" s="32" t="n">
        <x:v>0</x:v>
      </x:c>
      <x:c r="H52" s="32" t="n">
        <x:v>0</x:v>
      </x:c>
      <x:c r="I52" s="32" t="n">
        <x:v>0</x:v>
      </x:c>
      <x:c r="J52" s="32" t="n">
        <x:v>0</x:v>
      </x:c>
      <x:c r="K52" s="32" t="n">
        <x:v>0</x:v>
      </x:c>
      <x:c r="L52" s="31" t="n">
        <x:v>12100</x:v>
      </x:c>
    </x:row>
    <x:row r="53" ht="13" hidden="0">
      <x:c r="A53" s="28" t="n">
        <x:v>37</x:v>
      </x:c>
      <x:c r="B53" s="29" t="n">
        <x:v>177000</x:v>
      </x:c>
      <x:c r="C53" s="30" t="n">
        <x:v>179000</x:v>
      </x:c>
      <x:c r="D53" s="32" t="n">
        <x:v>3550</x:v>
      </x:c>
      <x:c r="E53" s="32" t="n">
        <x:v>1940</x:v>
      </x:c>
      <x:c r="F53" s="32" t="n">
        <x:v>320</x:v>
      </x:c>
      <x:c r="G53" s="32" t="n">
        <x:v>0</x:v>
      </x:c>
      <x:c r="H53" s="32" t="n">
        <x:v>0</x:v>
      </x:c>
      <x:c r="I53" s="32" t="n">
        <x:v>0</x:v>
      </x:c>
      <x:c r="J53" s="32" t="n">
        <x:v>0</x:v>
      </x:c>
      <x:c r="K53" s="32" t="n">
        <x:v>0</x:v>
      </x:c>
      <x:c r="L53" s="31" t="n">
        <x:v>12500</x:v>
      </x:c>
    </x:row>
    <x:row r="54" ht="13" hidden="0">
      <x:c r="A54" s="28" t="n">
        <x:v>38</x:v>
      </x:c>
      <x:c r="B54" s="29" t="n">
        <x:v>179000</x:v>
      </x:c>
      <x:c r="C54" s="30" t="n">
        <x:v>181000</x:v>
      </x:c>
      <x:c r="D54" s="32" t="n">
        <x:v>3620</x:v>
      </x:c>
      <x:c r="E54" s="32" t="n">
        <x:v>2010</x:v>
      </x:c>
      <x:c r="F54" s="32" t="n">
        <x:v>390</x:v>
      </x:c>
      <x:c r="G54" s="32" t="n">
        <x:v>0</x:v>
      </x:c>
      <x:c r="H54" s="32" t="n">
        <x:v>0</x:v>
      </x:c>
      <x:c r="I54" s="32" t="n">
        <x:v>0</x:v>
      </x:c>
      <x:c r="J54" s="32" t="n">
        <x:v>0</x:v>
      </x:c>
      <x:c r="K54" s="32" t="n">
        <x:v>0</x:v>
      </x:c>
      <x:c r="L54" s="31" t="n">
        <x:v>12800</x:v>
      </x:c>
    </x:row>
    <x:row r="55" ht="13" hidden="0">
      <x:c r="A55" s="28" t="n">
        <x:v>39</x:v>
      </x:c>
      <x:c r="B55" s="29" t="n">
        <x:v>181000</x:v>
      </x:c>
      <x:c r="C55" s="30" t="n">
        <x:v>183000</x:v>
      </x:c>
      <x:c r="D55" s="32" t="n">
        <x:v>3700</x:v>
      </x:c>
      <x:c r="E55" s="32" t="n">
        <x:v>2080</x:v>
      </x:c>
      <x:c r="F55" s="32" t="n">
        <x:v>460</x:v>
      </x:c>
      <x:c r="G55" s="32" t="n">
        <x:v>0</x:v>
      </x:c>
      <x:c r="H55" s="32" t="n">
        <x:v>0</x:v>
      </x:c>
      <x:c r="I55" s="32" t="n">
        <x:v>0</x:v>
      </x:c>
      <x:c r="J55" s="32" t="n">
        <x:v>0</x:v>
      </x:c>
      <x:c r="K55" s="32" t="n">
        <x:v>0</x:v>
      </x:c>
      <x:c r="L55" s="31" t="n">
        <x:v>13300</x:v>
      </x:c>
    </x:row>
    <x:row r="56" ht="13" hidden="0">
      <x:c r="A56" s="28" t="n">
        <x:v>40</x:v>
      </x:c>
      <x:c r="B56" s="29" t="n">
        <x:v>183000</x:v>
      </x:c>
      <x:c r="C56" s="30" t="n">
        <x:v>185000</x:v>
      </x:c>
      <x:c r="D56" s="32" t="n">
        <x:v>3770</x:v>
      </x:c>
      <x:c r="E56" s="32" t="n">
        <x:v>2150</x:v>
      </x:c>
      <x:c r="F56" s="32" t="n">
        <x:v>530</x:v>
      </x:c>
      <x:c r="G56" s="32" t="n">
        <x:v>0</x:v>
      </x:c>
      <x:c r="H56" s="32" t="n">
        <x:v>0</x:v>
      </x:c>
      <x:c r="I56" s="32" t="n">
        <x:v>0</x:v>
      </x:c>
      <x:c r="J56" s="32" t="n">
        <x:v>0</x:v>
      </x:c>
      <x:c r="K56" s="32" t="n">
        <x:v>0</x:v>
      </x:c>
      <x:c r="L56" s="31" t="n">
        <x:v>14000</x:v>
      </x:c>
    </x:row>
    <x:row r="57" ht="13" hidden="0">
      <x:c r="A57" s="28"/>
      <x:c r="B57" s="29"/>
      <x:c r="C57" s="30"/>
      <x:c r="D57" s="32"/>
      <x:c r="E57" s="32"/>
      <x:c r="F57" s="32"/>
      <x:c r="G57" s="32"/>
      <x:c r="H57" s="32"/>
      <x:c r="I57" s="32"/>
      <x:c r="J57" s="32"/>
      <x:c r="K57" s="32"/>
      <x:c r="L57" s="31"/>
    </x:row>
    <x:row r="58" ht="13" hidden="0">
      <x:c r="A58" s="28" t="n">
        <x:v>41</x:v>
      </x:c>
      <x:c r="B58" s="29" t="n">
        <x:v>185000</x:v>
      </x:c>
      <x:c r="C58" s="30" t="n">
        <x:v>187000</x:v>
      </x:c>
      <x:c r="D58" s="32" t="n">
        <x:v>3840</x:v>
      </x:c>
      <x:c r="E58" s="32" t="n">
        <x:v>2230</x:v>
      </x:c>
      <x:c r="F58" s="32" t="n">
        <x:v>600</x:v>
      </x:c>
      <x:c r="G58" s="32" t="n">
        <x:v>0</x:v>
      </x:c>
      <x:c r="H58" s="32" t="n">
        <x:v>0</x:v>
      </x:c>
      <x:c r="I58" s="32" t="n">
        <x:v>0</x:v>
      </x:c>
      <x:c r="J58" s="32" t="n">
        <x:v>0</x:v>
      </x:c>
      <x:c r="K58" s="32" t="n">
        <x:v>0</x:v>
      </x:c>
      <x:c r="L58" s="31" t="n">
        <x:v>14700</x:v>
      </x:c>
    </x:row>
    <x:row r="59" ht="13" hidden="0">
      <x:c r="A59" s="28" t="n">
        <x:v>42</x:v>
      </x:c>
      <x:c r="B59" s="29" t="n">
        <x:v>187000</x:v>
      </x:c>
      <x:c r="C59" s="30" t="n">
        <x:v>189000</x:v>
      </x:c>
      <x:c r="D59" s="32" t="n">
        <x:v>3910</x:v>
      </x:c>
      <x:c r="E59" s="32" t="n">
        <x:v>2300</x:v>
      </x:c>
      <x:c r="F59" s="32" t="n">
        <x:v>670</x:v>
      </x:c>
      <x:c r="G59" s="32" t="n">
        <x:v>0</x:v>
      </x:c>
      <x:c r="H59" s="32" t="n">
        <x:v>0</x:v>
      </x:c>
      <x:c r="I59" s="32" t="n">
        <x:v>0</x:v>
      </x:c>
      <x:c r="J59" s="32" t="n">
        <x:v>0</x:v>
      </x:c>
      <x:c r="K59" s="32" t="n">
        <x:v>0</x:v>
      </x:c>
      <x:c r="L59" s="31" t="n">
        <x:v>15400</x:v>
      </x:c>
    </x:row>
    <x:row r="60" ht="13" hidden="0">
      <x:c r="A60" s="28" t="n">
        <x:v>43</x:v>
      </x:c>
      <x:c r="B60" s="29" t="n">
        <x:v>189000</x:v>
      </x:c>
      <x:c r="C60" s="30" t="n">
        <x:v>191000</x:v>
      </x:c>
      <x:c r="D60" s="32" t="n">
        <x:v>3980</x:v>
      </x:c>
      <x:c r="E60" s="32" t="n">
        <x:v>2370</x:v>
      </x:c>
      <x:c r="F60" s="32" t="n">
        <x:v>750</x:v>
      </x:c>
      <x:c r="G60" s="32" t="n">
        <x:v>0</x:v>
      </x:c>
      <x:c r="H60" s="32" t="n">
        <x:v>0</x:v>
      </x:c>
      <x:c r="I60" s="32" t="n">
        <x:v>0</x:v>
      </x:c>
      <x:c r="J60" s="32" t="n">
        <x:v>0</x:v>
      </x:c>
      <x:c r="K60" s="32" t="n">
        <x:v>0</x:v>
      </x:c>
      <x:c r="L60" s="31" t="n">
        <x:v>16100</x:v>
      </x:c>
    </x:row>
    <x:row r="61" ht="13" hidden="0">
      <x:c r="A61" s="28" t="n">
        <x:v>44</x:v>
      </x:c>
      <x:c r="B61" s="29" t="n">
        <x:v>191000</x:v>
      </x:c>
      <x:c r="C61" s="30" t="n">
        <x:v>193000</x:v>
      </x:c>
      <x:c r="D61" s="32" t="n">
        <x:v>4050</x:v>
      </x:c>
      <x:c r="E61" s="32" t="n">
        <x:v>2440</x:v>
      </x:c>
      <x:c r="F61" s="32" t="n">
        <x:v>820</x:v>
      </x:c>
      <x:c r="G61" s="32" t="n">
        <x:v>0</x:v>
      </x:c>
      <x:c r="H61" s="32" t="n">
        <x:v>0</x:v>
      </x:c>
      <x:c r="I61" s="32" t="n">
        <x:v>0</x:v>
      </x:c>
      <x:c r="J61" s="32" t="n">
        <x:v>0</x:v>
      </x:c>
      <x:c r="K61" s="32" t="n">
        <x:v>0</x:v>
      </x:c>
      <x:c r="L61" s="31" t="n">
        <x:v>16800</x:v>
      </x:c>
    </x:row>
    <x:row r="62" ht="13" hidden="0">
      <x:c r="A62" s="28" t="n">
        <x:v>45</x:v>
      </x:c>
      <x:c r="B62" s="29" t="n">
        <x:v>193000</x:v>
      </x:c>
      <x:c r="C62" s="30" t="n">
        <x:v>195000</x:v>
      </x:c>
      <x:c r="D62" s="32" t="n">
        <x:v>4120</x:v>
      </x:c>
      <x:c r="E62" s="32" t="n">
        <x:v>2510</x:v>
      </x:c>
      <x:c r="F62" s="32" t="n">
        <x:v>890</x:v>
      </x:c>
      <x:c r="G62" s="32" t="n">
        <x:v>0</x:v>
      </x:c>
      <x:c r="H62" s="32" t="n">
        <x:v>0</x:v>
      </x:c>
      <x:c r="I62" s="32" t="n">
        <x:v>0</x:v>
      </x:c>
      <x:c r="J62" s="32" t="n">
        <x:v>0</x:v>
      </x:c>
      <x:c r="K62" s="32" t="n">
        <x:v>0</x:v>
      </x:c>
      <x:c r="L62" s="31" t="n">
        <x:v>17600</x:v>
      </x:c>
    </x:row>
    <x:row r="63" ht="13" hidden="0">
      <x:c r="A63" s="33"/>
      <x:c r="B63" s="34"/>
      <x:c r="C63" s="35"/>
      <x:c r="D63" s="36"/>
      <x:c r="E63" s="36"/>
      <x:c r="F63" s="36"/>
      <x:c r="G63" s="36"/>
      <x:c r="H63" s="36"/>
      <x:c r="I63" s="36"/>
      <x:c r="J63" s="36"/>
      <x:c r="K63" s="36"/>
      <x:c r="L63" s="37"/>
    </x:row>
    <x:row r="64" ht="13" hidden="0">
      <x:c r="A64" s="28" t="n">
        <x:v>46</x:v>
      </x:c>
      <x:c r="B64" s="29" t="n">
        <x:v>195000</x:v>
      </x:c>
      <x:c r="C64" s="30" t="n">
        <x:v>197000</x:v>
      </x:c>
      <x:c r="D64" s="32" t="n">
        <x:v>4200</x:v>
      </x:c>
      <x:c r="E64" s="32" t="n">
        <x:v>2580</x:v>
      </x:c>
      <x:c r="F64" s="32" t="n">
        <x:v>960</x:v>
      </x:c>
      <x:c r="G64" s="32" t="n">
        <x:v>0</x:v>
      </x:c>
      <x:c r="H64" s="32" t="n">
        <x:v>0</x:v>
      </x:c>
      <x:c r="I64" s="32" t="n">
        <x:v>0</x:v>
      </x:c>
      <x:c r="J64" s="32" t="n">
        <x:v>0</x:v>
      </x:c>
      <x:c r="K64" s="32" t="n">
        <x:v>0</x:v>
      </x:c>
      <x:c r="L64" s="31" t="n">
        <x:v>18300</x:v>
      </x:c>
    </x:row>
    <x:row r="65" ht="13" hidden="0">
      <x:c r="A65" s="28" t="n">
        <x:v>47</x:v>
      </x:c>
      <x:c r="B65" s="29" t="n">
        <x:v>197000</x:v>
      </x:c>
      <x:c r="C65" s="30" t="n">
        <x:v>199000</x:v>
      </x:c>
      <x:c r="D65" s="32" t="n">
        <x:v>4270</x:v>
      </x:c>
      <x:c r="E65" s="32" t="n">
        <x:v>2650</x:v>
      </x:c>
      <x:c r="F65" s="32" t="n">
        <x:v>1030</x:v>
      </x:c>
      <x:c r="G65" s="32" t="n">
        <x:v>0</x:v>
      </x:c>
      <x:c r="H65" s="32" t="n">
        <x:v>0</x:v>
      </x:c>
      <x:c r="I65" s="32" t="n">
        <x:v>0</x:v>
      </x:c>
      <x:c r="J65" s="32" t="n">
        <x:v>0</x:v>
      </x:c>
      <x:c r="K65" s="32" t="n">
        <x:v>0</x:v>
      </x:c>
      <x:c r="L65" s="31" t="n">
        <x:v>19000</x:v>
      </x:c>
    </x:row>
    <x:row r="66" ht="13" hidden="0">
      <x:c r="A66" s="28" t="n">
        <x:v>48</x:v>
      </x:c>
      <x:c r="B66" s="29" t="n">
        <x:v>199000</x:v>
      </x:c>
      <x:c r="C66" s="30" t="n">
        <x:v>201000</x:v>
      </x:c>
      <x:c r="D66" s="32" t="n">
        <x:v>4340</x:v>
      </x:c>
      <x:c r="E66" s="32" t="n">
        <x:v>2730</x:v>
      </x:c>
      <x:c r="F66" s="32" t="n">
        <x:v>1100</x:v>
      </x:c>
      <x:c r="G66" s="32" t="n">
        <x:v>0</x:v>
      </x:c>
      <x:c r="H66" s="32" t="n">
        <x:v>0</x:v>
      </x:c>
      <x:c r="I66" s="32" t="n">
        <x:v>0</x:v>
      </x:c>
      <x:c r="J66" s="32" t="n">
        <x:v>0</x:v>
      </x:c>
      <x:c r="K66" s="32" t="n">
        <x:v>0</x:v>
      </x:c>
      <x:c r="L66" s="31" t="n">
        <x:v>19700</x:v>
      </x:c>
    </x:row>
    <x:row r="67" ht="13" hidden="0">
      <x:c r="A67" s="28" t="n">
        <x:v>49</x:v>
      </x:c>
      <x:c r="B67" s="29" t="n">
        <x:v>201000</x:v>
      </x:c>
      <x:c r="C67" s="30" t="n">
        <x:v>203000</x:v>
      </x:c>
      <x:c r="D67" s="32" t="n">
        <x:v>4410</x:v>
      </x:c>
      <x:c r="E67" s="32" t="n">
        <x:v>2800</x:v>
      </x:c>
      <x:c r="F67" s="32" t="n">
        <x:v>1170</x:v>
      </x:c>
      <x:c r="G67" s="32" t="n">
        <x:v>0</x:v>
      </x:c>
      <x:c r="H67" s="32" t="n">
        <x:v>0</x:v>
      </x:c>
      <x:c r="I67" s="32" t="n">
        <x:v>0</x:v>
      </x:c>
      <x:c r="J67" s="32" t="n">
        <x:v>0</x:v>
      </x:c>
      <x:c r="K67" s="32" t="n">
        <x:v>0</x:v>
      </x:c>
      <x:c r="L67" s="31" t="n">
        <x:v>20400</x:v>
      </x:c>
    </x:row>
    <x:row r="68" ht="13" hidden="0">
      <x:c r="A68" s="28" t="n">
        <x:v>50</x:v>
      </x:c>
      <x:c r="B68" s="29" t="n">
        <x:v>203000</x:v>
      </x:c>
      <x:c r="C68" s="30" t="n">
        <x:v>205000</x:v>
      </x:c>
      <x:c r="D68" s="32" t="n">
        <x:v>4480</x:v>
      </x:c>
      <x:c r="E68" s="32" t="n">
        <x:v>2870</x:v>
      </x:c>
      <x:c r="F68" s="32" t="n">
        <x:v>1250</x:v>
      </x:c>
      <x:c r="G68" s="32" t="n">
        <x:v>0</x:v>
      </x:c>
      <x:c r="H68" s="32" t="n">
        <x:v>0</x:v>
      </x:c>
      <x:c r="I68" s="32" t="n">
        <x:v>0</x:v>
      </x:c>
      <x:c r="J68" s="32" t="n">
        <x:v>0</x:v>
      </x:c>
      <x:c r="K68" s="32" t="n">
        <x:v>0</x:v>
      </x:c>
      <x:c r="L68" s="31" t="n">
        <x:v>21000</x:v>
      </x:c>
    </x:row>
    <x:row r="69" ht="13" hidden="0">
      <x:c r="A69" s="28"/>
      <x:c r="B69" s="29"/>
      <x:c r="C69" s="30"/>
      <x:c r="D69" s="32"/>
      <x:c r="E69" s="32"/>
      <x:c r="F69" s="32"/>
      <x:c r="G69" s="32"/>
      <x:c r="H69" s="32"/>
      <x:c r="I69" s="32"/>
      <x:c r="J69" s="32"/>
      <x:c r="K69" s="32"/>
      <x:c r="L69" s="31"/>
    </x:row>
    <x:row r="70" ht="13" hidden="0">
      <x:c r="A70" s="28" t="n">
        <x:v>51</x:v>
      </x:c>
      <x:c r="B70" s="29" t="n">
        <x:v>205000</x:v>
      </x:c>
      <x:c r="C70" s="30" t="n">
        <x:v>207000</x:v>
      </x:c>
      <x:c r="D70" s="32" t="n">
        <x:v>4550</x:v>
      </x:c>
      <x:c r="E70" s="32" t="n">
        <x:v>2940</x:v>
      </x:c>
      <x:c r="F70" s="32" t="n">
        <x:v>1320</x:v>
      </x:c>
      <x:c r="G70" s="32" t="n">
        <x:v>0</x:v>
      </x:c>
      <x:c r="H70" s="32" t="n">
        <x:v>0</x:v>
      </x:c>
      <x:c r="I70" s="32" t="n">
        <x:v>0</x:v>
      </x:c>
      <x:c r="J70" s="32" t="n">
        <x:v>0</x:v>
      </x:c>
      <x:c r="K70" s="32" t="n">
        <x:v>0</x:v>
      </x:c>
      <x:c r="L70" s="31" t="n">
        <x:v>21700</x:v>
      </x:c>
    </x:row>
    <x:row r="71" ht="13" hidden="0">
      <x:c r="A71" s="28" t="n">
        <x:v>52</x:v>
      </x:c>
      <x:c r="B71" s="29" t="n">
        <x:v>207000</x:v>
      </x:c>
      <x:c r="C71" s="30" t="n">
        <x:v>209000</x:v>
      </x:c>
      <x:c r="D71" s="32" t="n">
        <x:v>4630</x:v>
      </x:c>
      <x:c r="E71" s="32" t="n">
        <x:v>3010</x:v>
      </x:c>
      <x:c r="F71" s="32" t="n">
        <x:v>1390</x:v>
      </x:c>
      <x:c r="G71" s="32" t="n">
        <x:v>0</x:v>
      </x:c>
      <x:c r="H71" s="32" t="n">
        <x:v>0</x:v>
      </x:c>
      <x:c r="I71" s="32" t="n">
        <x:v>0</x:v>
      </x:c>
      <x:c r="J71" s="32" t="n">
        <x:v>0</x:v>
      </x:c>
      <x:c r="K71" s="32" t="n">
        <x:v>0</x:v>
      </x:c>
      <x:c r="L71" s="31" t="n">
        <x:v>22500</x:v>
      </x:c>
    </x:row>
    <x:row r="72" ht="13" hidden="0">
      <x:c r="A72" s="28" t="n">
        <x:v>53</x:v>
      </x:c>
      <x:c r="B72" s="29" t="n">
        <x:v>209000</x:v>
      </x:c>
      <x:c r="C72" s="30" t="n">
        <x:v>211000</x:v>
      </x:c>
      <x:c r="D72" s="32" t="n">
        <x:v>4700</x:v>
      </x:c>
      <x:c r="E72" s="32" t="n">
        <x:v>3080</x:v>
      </x:c>
      <x:c r="F72" s="32" t="n">
        <x:v>1460</x:v>
      </x:c>
      <x:c r="G72" s="32" t="n">
        <x:v>0</x:v>
      </x:c>
      <x:c r="H72" s="32" t="n">
        <x:v>0</x:v>
      </x:c>
      <x:c r="I72" s="32" t="n">
        <x:v>0</x:v>
      </x:c>
      <x:c r="J72" s="32" t="n">
        <x:v>0</x:v>
      </x:c>
      <x:c r="K72" s="32" t="n">
        <x:v>0</x:v>
      </x:c>
      <x:c r="L72" s="31" t="n">
        <x:v>23000</x:v>
      </x:c>
    </x:row>
    <x:row r="73" ht="13" hidden="0">
      <x:c r="A73" s="28" t="n">
        <x:v>54</x:v>
      </x:c>
      <x:c r="B73" s="29" t="n">
        <x:v>211000</x:v>
      </x:c>
      <x:c r="C73" s="30" t="n">
        <x:v>213000</x:v>
      </x:c>
      <x:c r="D73" s="32" t="n">
        <x:v>4770</x:v>
      </x:c>
      <x:c r="E73" s="32" t="n">
        <x:v>3150</x:v>
      </x:c>
      <x:c r="F73" s="32" t="n">
        <x:v>1530</x:v>
      </x:c>
      <x:c r="G73" s="32" t="n">
        <x:v>0</x:v>
      </x:c>
      <x:c r="H73" s="32" t="n">
        <x:v>0</x:v>
      </x:c>
      <x:c r="I73" s="32" t="n">
        <x:v>0</x:v>
      </x:c>
      <x:c r="J73" s="32" t="n">
        <x:v>0</x:v>
      </x:c>
      <x:c r="K73" s="32" t="n">
        <x:v>0</x:v>
      </x:c>
      <x:c r="L73" s="31" t="n">
        <x:v>23600</x:v>
      </x:c>
    </x:row>
    <x:row r="74" ht="13" hidden="0">
      <x:c r="A74" s="28" t="n">
        <x:v>55</x:v>
      </x:c>
      <x:c r="B74" s="29" t="n">
        <x:v>213000</x:v>
      </x:c>
      <x:c r="C74" s="30" t="n">
        <x:v>215000</x:v>
      </x:c>
      <x:c r="D74" s="32" t="n">
        <x:v>4840</x:v>
      </x:c>
      <x:c r="E74" s="32" t="n">
        <x:v>3230</x:v>
      </x:c>
      <x:c r="F74" s="32" t="n">
        <x:v>1600</x:v>
      </x:c>
      <x:c r="G74" s="32" t="n">
        <x:v>0</x:v>
      </x:c>
      <x:c r="H74" s="32" t="n">
        <x:v>0</x:v>
      </x:c>
      <x:c r="I74" s="32" t="n">
        <x:v>0</x:v>
      </x:c>
      <x:c r="J74" s="32" t="n">
        <x:v>0</x:v>
      </x:c>
      <x:c r="K74" s="32" t="n">
        <x:v>0</x:v>
      </x:c>
      <x:c r="L74" s="31" t="n">
        <x:v>24100</x:v>
      </x:c>
    </x:row>
    <x:row r="75" ht="13" hidden="0">
      <x:c r="A75" s="28"/>
      <x:c r="B75" s="29"/>
      <x:c r="C75" s="30"/>
      <x:c r="D75" s="32"/>
      <x:c r="E75" s="32"/>
      <x:c r="F75" s="32"/>
      <x:c r="G75" s="32"/>
      <x:c r="H75" s="32"/>
      <x:c r="I75" s="32"/>
      <x:c r="J75" s="32"/>
      <x:c r="K75" s="32"/>
      <x:c r="L75" s="31"/>
    </x:row>
    <x:row r="76" ht="13" hidden="0">
      <x:c r="A76" s="28" t="n">
        <x:v>56</x:v>
      </x:c>
      <x:c r="B76" s="29" t="n">
        <x:v>215000</x:v>
      </x:c>
      <x:c r="C76" s="30" t="n">
        <x:v>217000</x:v>
      </x:c>
      <x:c r="D76" s="32" t="n">
        <x:v>4910</x:v>
      </x:c>
      <x:c r="E76" s="32" t="n">
        <x:v>3300</x:v>
      </x:c>
      <x:c r="F76" s="32" t="n">
        <x:v>1670</x:v>
      </x:c>
      <x:c r="G76" s="32" t="n">
        <x:v>0</x:v>
      </x:c>
      <x:c r="H76" s="32" t="n">
        <x:v>0</x:v>
      </x:c>
      <x:c r="I76" s="32" t="n">
        <x:v>0</x:v>
      </x:c>
      <x:c r="J76" s="32" t="n">
        <x:v>0</x:v>
      </x:c>
      <x:c r="K76" s="32" t="n">
        <x:v>0</x:v>
      </x:c>
      <x:c r="L76" s="31" t="n">
        <x:v>24700</x:v>
      </x:c>
    </x:row>
    <x:row r="77" ht="13" hidden="0">
      <x:c r="A77" s="28" t="n">
        <x:v>57</x:v>
      </x:c>
      <x:c r="B77" s="29" t="n">
        <x:v>217000</x:v>
      </x:c>
      <x:c r="C77" s="30" t="n">
        <x:v>219000</x:v>
      </x:c>
      <x:c r="D77" s="32" t="n">
        <x:v>4980</x:v>
      </x:c>
      <x:c r="E77" s="32" t="n">
        <x:v>3370</x:v>
      </x:c>
      <x:c r="F77" s="32" t="n">
        <x:v>1750</x:v>
      </x:c>
      <x:c r="G77" s="32" t="n">
        <x:v>130</x:v>
      </x:c>
      <x:c r="H77" s="32" t="n">
        <x:v>0</x:v>
      </x:c>
      <x:c r="I77" s="32" t="n">
        <x:v>0</x:v>
      </x:c>
      <x:c r="J77" s="32" t="n">
        <x:v>0</x:v>
      </x:c>
      <x:c r="K77" s="32" t="n">
        <x:v>0</x:v>
      </x:c>
      <x:c r="L77" s="31" t="n">
        <x:v>25300</x:v>
      </x:c>
    </x:row>
    <x:row r="78" ht="13" hidden="0">
      <x:c r="A78" s="28" t="n">
        <x:v>58</x:v>
      </x:c>
      <x:c r="B78" s="29" t="n">
        <x:v>219000</x:v>
      </x:c>
      <x:c r="C78" s="30" t="n">
        <x:v>221000</x:v>
      </x:c>
      <x:c r="D78" s="32" t="n">
        <x:v>5050</x:v>
      </x:c>
      <x:c r="E78" s="32" t="n">
        <x:v>3440</x:v>
      </x:c>
      <x:c r="F78" s="32" t="n">
        <x:v>1820</x:v>
      </x:c>
      <x:c r="G78" s="32" t="n">
        <x:v>200</x:v>
      </x:c>
      <x:c r="H78" s="32" t="n">
        <x:v>0</x:v>
      </x:c>
      <x:c r="I78" s="32" t="n">
        <x:v>0</x:v>
      </x:c>
      <x:c r="J78" s="32" t="n">
        <x:v>0</x:v>
      </x:c>
      <x:c r="K78" s="32" t="n">
        <x:v>0</x:v>
      </x:c>
      <x:c r="L78" s="31" t="n">
        <x:v>25800</x:v>
      </x:c>
    </x:row>
    <x:row r="79" ht="13" hidden="0">
      <x:c r="A79" s="28" t="n">
        <x:v>59</x:v>
      </x:c>
      <x:c r="B79" s="29" t="n">
        <x:v>221000</x:v>
      </x:c>
      <x:c r="C79" s="30" t="n">
        <x:v>224000</x:v>
      </x:c>
      <x:c r="D79" s="32" t="n">
        <x:v>5150</x:v>
      </x:c>
      <x:c r="E79" s="32" t="n">
        <x:v>3520</x:v>
      </x:c>
      <x:c r="F79" s="32" t="n">
        <x:v>1910</x:v>
      </x:c>
      <x:c r="G79" s="32" t="n">
        <x:v>300</x:v>
      </x:c>
      <x:c r="H79" s="32" t="n">
        <x:v>0</x:v>
      </x:c>
      <x:c r="I79" s="32" t="n">
        <x:v>0</x:v>
      </x:c>
      <x:c r="J79" s="32" t="n">
        <x:v>0</x:v>
      </x:c>
      <x:c r="K79" s="32" t="n">
        <x:v>0</x:v>
      </x:c>
      <x:c r="L79" s="31" t="n">
        <x:v>26400</x:v>
      </x:c>
    </x:row>
    <x:row r="80" ht="13" hidden="0">
      <x:c r="A80" s="28" t="n">
        <x:v>60</x:v>
      </x:c>
      <x:c r="B80" s="29" t="n">
        <x:v>224000</x:v>
      </x:c>
      <x:c r="C80" s="30" t="n">
        <x:v>227000</x:v>
      </x:c>
      <x:c r="D80" s="32" t="n">
        <x:v>5250</x:v>
      </x:c>
      <x:c r="E80" s="32" t="n">
        <x:v>3630</x:v>
      </x:c>
      <x:c r="F80" s="32" t="n">
        <x:v>2020</x:v>
      </x:c>
      <x:c r="G80" s="32" t="n">
        <x:v>400</x:v>
      </x:c>
      <x:c r="H80" s="32" t="n">
        <x:v>0</x:v>
      </x:c>
      <x:c r="I80" s="32" t="n">
        <x:v>0</x:v>
      </x:c>
      <x:c r="J80" s="32" t="n">
        <x:v>0</x:v>
      </x:c>
      <x:c r="K80" s="32" t="n">
        <x:v>0</x:v>
      </x:c>
      <x:c r="L80" s="31" t="n">
        <x:v>27500</x:v>
      </x:c>
    </x:row>
    <x:row r="81" ht="13" hidden="0">
      <x:c r="A81" s="28"/>
      <x:c r="B81" s="29"/>
      <x:c r="C81" s="30"/>
      <x:c r="D81" s="32"/>
      <x:c r="E81" s="32"/>
      <x:c r="F81" s="32"/>
      <x:c r="G81" s="32"/>
      <x:c r="H81" s="32"/>
      <x:c r="I81" s="32"/>
      <x:c r="J81" s="32"/>
      <x:c r="K81" s="32"/>
      <x:c r="L81" s="31"/>
    </x:row>
    <x:row r="82" ht="13" hidden="0">
      <x:c r="A82" s="28" t="n">
        <x:v>61</x:v>
      </x:c>
      <x:c r="B82" s="29" t="n">
        <x:v>227000</x:v>
      </x:c>
      <x:c r="C82" s="30" t="n">
        <x:v>230000</x:v>
      </x:c>
      <x:c r="D82" s="32" t="n">
        <x:v>5360</x:v>
      </x:c>
      <x:c r="E82" s="32" t="n">
        <x:v>3740</x:v>
      </x:c>
      <x:c r="F82" s="32" t="n">
        <x:v>2120</x:v>
      </x:c>
      <x:c r="G82" s="32" t="n">
        <x:v>510</x:v>
      </x:c>
      <x:c r="H82" s="32" t="n">
        <x:v>0</x:v>
      </x:c>
      <x:c r="I82" s="32" t="n">
        <x:v>0</x:v>
      </x:c>
      <x:c r="J82" s="32" t="n">
        <x:v>0</x:v>
      </x:c>
      <x:c r="K82" s="32" t="n">
        <x:v>0</x:v>
      </x:c>
      <x:c r="L82" s="31" t="n">
        <x:v>28500</x:v>
      </x:c>
    </x:row>
    <x:row r="83" ht="13" hidden="0">
      <x:c r="A83" s="28" t="n">
        <x:v>62</x:v>
      </x:c>
      <x:c r="B83" s="29" t="n">
        <x:v>230000</x:v>
      </x:c>
      <x:c r="C83" s="30" t="n">
        <x:v>233000</x:v>
      </x:c>
      <x:c r="D83" s="32" t="n">
        <x:v>5460</x:v>
      </x:c>
      <x:c r="E83" s="32" t="n">
        <x:v>3850</x:v>
      </x:c>
      <x:c r="F83" s="32" t="n">
        <x:v>2240</x:v>
      </x:c>
      <x:c r="G83" s="32" t="n">
        <x:v>610</x:v>
      </x:c>
      <x:c r="H83" s="32" t="n">
        <x:v>0</x:v>
      </x:c>
      <x:c r="I83" s="32" t="n">
        <x:v>0</x:v>
      </x:c>
      <x:c r="J83" s="32" t="n">
        <x:v>0</x:v>
      </x:c>
      <x:c r="K83" s="32" t="n">
        <x:v>0</x:v>
      </x:c>
      <x:c r="L83" s="31" t="n">
        <x:v>29500</x:v>
      </x:c>
    </x:row>
    <x:row r="84" ht="13" hidden="0">
      <x:c r="A84" s="28" t="n">
        <x:v>63</x:v>
      </x:c>
      <x:c r="B84" s="29" t="n">
        <x:v>233000</x:v>
      </x:c>
      <x:c r="C84" s="30" t="n">
        <x:v>236000</x:v>
      </x:c>
      <x:c r="D84" s="32" t="n">
        <x:v>5570</x:v>
      </x:c>
      <x:c r="E84" s="32" t="n">
        <x:v>3950</x:v>
      </x:c>
      <x:c r="F84" s="32" t="n">
        <x:v>2340</x:v>
      </x:c>
      <x:c r="G84" s="32" t="n">
        <x:v>720</x:v>
      </x:c>
      <x:c r="H84" s="32" t="n">
        <x:v>0</x:v>
      </x:c>
      <x:c r="I84" s="32" t="n">
        <x:v>0</x:v>
      </x:c>
      <x:c r="J84" s="32" t="n">
        <x:v>0</x:v>
      </x:c>
      <x:c r="K84" s="32" t="n">
        <x:v>0</x:v>
      </x:c>
      <x:c r="L84" s="31" t="n">
        <x:v>30500</x:v>
      </x:c>
    </x:row>
    <x:row r="85" ht="13" hidden="0">
      <x:c r="A85" s="28" t="n">
        <x:v>64</x:v>
      </x:c>
      <x:c r="B85" s="29" t="n">
        <x:v>236000</x:v>
      </x:c>
      <x:c r="C85" s="30" t="n">
        <x:v>239000</x:v>
      </x:c>
      <x:c r="D85" s="32" t="n">
        <x:v>5680</x:v>
      </x:c>
      <x:c r="E85" s="32" t="n">
        <x:v>4060</x:v>
      </x:c>
      <x:c r="F85" s="32" t="n">
        <x:v>2450</x:v>
      </x:c>
      <x:c r="G85" s="32" t="n">
        <x:v>830</x:v>
      </x:c>
      <x:c r="H85" s="32" t="n">
        <x:v>0</x:v>
      </x:c>
      <x:c r="I85" s="32" t="n">
        <x:v>0</x:v>
      </x:c>
      <x:c r="J85" s="32" t="n">
        <x:v>0</x:v>
      </x:c>
      <x:c r="K85" s="32" t="n">
        <x:v>0</x:v>
      </x:c>
      <x:c r="L85" s="31" t="n">
        <x:v>31500</x:v>
      </x:c>
    </x:row>
    <x:row r="86" ht="13" hidden="0">
      <x:c r="A86" s="28" t="n">
        <x:v>65</x:v>
      </x:c>
      <x:c r="B86" s="29" t="n">
        <x:v>239000</x:v>
      </x:c>
      <x:c r="C86" s="30" t="n">
        <x:v>242000</x:v>
      </x:c>
      <x:c r="D86" s="32" t="n">
        <x:v>5790</x:v>
      </x:c>
      <x:c r="E86" s="32" t="n">
        <x:v>4170</x:v>
      </x:c>
      <x:c r="F86" s="32" t="n">
        <x:v>2550</x:v>
      </x:c>
      <x:c r="G86" s="32" t="n">
        <x:v>940</x:v>
      </x:c>
      <x:c r="H86" s="32" t="n">
        <x:v>0</x:v>
      </x:c>
      <x:c r="I86" s="32" t="n">
        <x:v>0</x:v>
      </x:c>
      <x:c r="J86" s="32" t="n">
        <x:v>0</x:v>
      </x:c>
      <x:c r="K86" s="32" t="n">
        <x:v>0</x:v>
      </x:c>
      <x:c r="L86" s="31" t="n">
        <x:v>32600</x:v>
      </x:c>
    </x:row>
    <x:row r="87" ht="13" hidden="0">
      <x:c r="A87" s="28"/>
      <x:c r="B87" s="29"/>
      <x:c r="C87" s="30"/>
      <x:c r="D87" s="32"/>
      <x:c r="E87" s="32"/>
      <x:c r="F87" s="32"/>
      <x:c r="G87" s="32"/>
      <x:c r="H87" s="32"/>
      <x:c r="I87" s="32"/>
      <x:c r="J87" s="32"/>
      <x:c r="K87" s="32"/>
      <x:c r="L87" s="31"/>
    </x:row>
    <x:row r="88" ht="13" hidden="0">
      <x:c r="A88" s="28" t="n">
        <x:v>66</x:v>
      </x:c>
      <x:c r="B88" s="29" t="n">
        <x:v>242000</x:v>
      </x:c>
      <x:c r="C88" s="30" t="n">
        <x:v>245000</x:v>
      </x:c>
      <x:c r="D88" s="32" t="n">
        <x:v>5890</x:v>
      </x:c>
      <x:c r="E88" s="32" t="n">
        <x:v>4280</x:v>
      </x:c>
      <x:c r="F88" s="32" t="n">
        <x:v>2660</x:v>
      </x:c>
      <x:c r="G88" s="32" t="n">
        <x:v>1040</x:v>
      </x:c>
      <x:c r="H88" s="32" t="n">
        <x:v>0</x:v>
      </x:c>
      <x:c r="I88" s="32" t="n">
        <x:v>0</x:v>
      </x:c>
      <x:c r="J88" s="32" t="n">
        <x:v>0</x:v>
      </x:c>
      <x:c r="K88" s="32" t="n">
        <x:v>0</x:v>
      </x:c>
      <x:c r="L88" s="31" t="n">
        <x:v>33600</x:v>
      </x:c>
    </x:row>
    <x:row r="89" ht="13" hidden="0">
      <x:c r="A89" s="28" t="n">
        <x:v>67</x:v>
      </x:c>
      <x:c r="B89" s="29" t="n">
        <x:v>245000</x:v>
      </x:c>
      <x:c r="C89" s="30" t="n">
        <x:v>248000</x:v>
      </x:c>
      <x:c r="D89" s="32" t="n">
        <x:v>6000</x:v>
      </x:c>
      <x:c r="E89" s="32" t="n">
        <x:v>4380</x:v>
      </x:c>
      <x:c r="F89" s="32" t="n">
        <x:v>2770</x:v>
      </x:c>
      <x:c r="G89" s="32" t="n">
        <x:v>1150</x:v>
      </x:c>
      <x:c r="H89" s="32" t="n">
        <x:v>0</x:v>
      </x:c>
      <x:c r="I89" s="32" t="n">
        <x:v>0</x:v>
      </x:c>
      <x:c r="J89" s="32" t="n">
        <x:v>0</x:v>
      </x:c>
      <x:c r="K89" s="32" t="n">
        <x:v>0</x:v>
      </x:c>
      <x:c r="L89" s="31" t="n">
        <x:v>34600</x:v>
      </x:c>
    </x:row>
    <x:row r="90" ht="13" hidden="0">
      <x:c r="A90" s="28" t="n">
        <x:v>68</x:v>
      </x:c>
      <x:c r="B90" s="29" t="n">
        <x:v>248000</x:v>
      </x:c>
      <x:c r="C90" s="30" t="n">
        <x:v>251000</x:v>
      </x:c>
      <x:c r="D90" s="32" t="n">
        <x:v>6110</x:v>
      </x:c>
      <x:c r="E90" s="32" t="n">
        <x:v>4490</x:v>
      </x:c>
      <x:c r="F90" s="32" t="n">
        <x:v>2880</x:v>
      </x:c>
      <x:c r="G90" s="32" t="n">
        <x:v>1260</x:v>
      </x:c>
      <x:c r="H90" s="32" t="n">
        <x:v>0</x:v>
      </x:c>
      <x:c r="I90" s="32" t="n">
        <x:v>0</x:v>
      </x:c>
      <x:c r="J90" s="32" t="n">
        <x:v>0</x:v>
      </x:c>
      <x:c r="K90" s="32" t="n">
        <x:v>0</x:v>
      </x:c>
      <x:c r="L90" s="31" t="n">
        <x:v>35500</x:v>
      </x:c>
    </x:row>
    <x:row r="91" ht="13" hidden="0">
      <x:c r="A91" s="28" t="n">
        <x:v>69</x:v>
      </x:c>
      <x:c r="B91" s="29" t="n">
        <x:v>251000</x:v>
      </x:c>
      <x:c r="C91" s="30" t="n">
        <x:v>254000</x:v>
      </x:c>
      <x:c r="D91" s="32" t="n">
        <x:v>6220</x:v>
      </x:c>
      <x:c r="E91" s="32" t="n">
        <x:v>4590</x:v>
      </x:c>
      <x:c r="F91" s="32" t="n">
        <x:v>2980</x:v>
      </x:c>
      <x:c r="G91" s="32" t="n">
        <x:v>1370</x:v>
      </x:c>
      <x:c r="H91" s="32" t="n">
        <x:v>0</x:v>
      </x:c>
      <x:c r="I91" s="32" t="n">
        <x:v>0</x:v>
      </x:c>
      <x:c r="J91" s="32" t="n">
        <x:v>0</x:v>
      </x:c>
      <x:c r="K91" s="32" t="n">
        <x:v>0</x:v>
      </x:c>
      <x:c r="L91" s="31" t="n">
        <x:v>36600</x:v>
      </x:c>
    </x:row>
    <x:row r="92" ht="13" hidden="0">
      <x:c r="A92" s="28" t="n">
        <x:v>70</x:v>
      </x:c>
      <x:c r="B92" s="29" t="n">
        <x:v>254000</x:v>
      </x:c>
      <x:c r="C92" s="30" t="n">
        <x:v>257000</x:v>
      </x:c>
      <x:c r="D92" s="32" t="n">
        <x:v>6320</x:v>
      </x:c>
      <x:c r="E92" s="32" t="n">
        <x:v>4710</x:v>
      </x:c>
      <x:c r="F92" s="32" t="n">
        <x:v>3090</x:v>
      </x:c>
      <x:c r="G92" s="32" t="n">
        <x:v>1470</x:v>
      </x:c>
      <x:c r="H92" s="32" t="n">
        <x:v>0</x:v>
      </x:c>
      <x:c r="I92" s="32" t="n">
        <x:v>0</x:v>
      </x:c>
      <x:c r="J92" s="32" t="n">
        <x:v>0</x:v>
      </x:c>
      <x:c r="K92" s="32" t="n">
        <x:v>0</x:v>
      </x:c>
      <x:c r="L92" s="31" t="n">
        <x:v>37600</x:v>
      </x:c>
    </x:row>
    <x:row r="93" ht="13" hidden="0">
      <x:c r="A93" s="28"/>
      <x:c r="B93" s="29"/>
      <x:c r="C93" s="30"/>
      <x:c r="D93" s="32"/>
      <x:c r="E93" s="32"/>
      <x:c r="F93" s="32"/>
      <x:c r="G93" s="32"/>
      <x:c r="H93" s="32"/>
      <x:c r="I93" s="32"/>
      <x:c r="J93" s="32"/>
      <x:c r="K93" s="32"/>
      <x:c r="L93" s="31"/>
    </x:row>
    <x:row r="94" ht="13" hidden="0">
      <x:c r="A94" s="28" t="n">
        <x:v>71</x:v>
      </x:c>
      <x:c r="B94" s="29" t="n">
        <x:v>257000</x:v>
      </x:c>
      <x:c r="C94" s="30" t="n">
        <x:v>260000</x:v>
      </x:c>
      <x:c r="D94" s="32" t="n">
        <x:v>6430</x:v>
      </x:c>
      <x:c r="E94" s="32" t="n">
        <x:v>4810</x:v>
      </x:c>
      <x:c r="F94" s="32" t="n">
        <x:v>3200</x:v>
      </x:c>
      <x:c r="G94" s="32" t="n">
        <x:v>1580</x:v>
      </x:c>
      <x:c r="H94" s="32" t="n">
        <x:v>0</x:v>
      </x:c>
      <x:c r="I94" s="32" t="n">
        <x:v>0</x:v>
      </x:c>
      <x:c r="J94" s="32" t="n">
        <x:v>0</x:v>
      </x:c>
      <x:c r="K94" s="32" t="n">
        <x:v>0</x:v>
      </x:c>
      <x:c r="L94" s="31" t="n">
        <x:v>38600</x:v>
      </x:c>
    </x:row>
    <x:row r="95" ht="13" hidden="0">
      <x:c r="A95" s="28" t="n">
        <x:v>72</x:v>
      </x:c>
      <x:c r="B95" s="29" t="n">
        <x:v>260000</x:v>
      </x:c>
      <x:c r="C95" s="30" t="n">
        <x:v>263000</x:v>
      </x:c>
      <x:c r="D95" s="32" t="n">
        <x:v>6530</x:v>
      </x:c>
      <x:c r="E95" s="32" t="n">
        <x:v>4920</x:v>
      </x:c>
      <x:c r="F95" s="32" t="n">
        <x:v>3310</x:v>
      </x:c>
      <x:c r="G95" s="32" t="n">
        <x:v>1680</x:v>
      </x:c>
      <x:c r="H95" s="32" t="n">
        <x:v>0</x:v>
      </x:c>
      <x:c r="I95" s="32" t="n">
        <x:v>0</x:v>
      </x:c>
      <x:c r="J95" s="32" t="n">
        <x:v>0</x:v>
      </x:c>
      <x:c r="K95" s="32" t="n">
        <x:v>0</x:v>
      </x:c>
      <x:c r="L95" s="31" t="n">
        <x:v>39600</x:v>
      </x:c>
    </x:row>
    <x:row r="96" ht="13" hidden="0">
      <x:c r="A96" s="28" t="n">
        <x:v>73</x:v>
      </x:c>
      <x:c r="B96" s="29" t="n">
        <x:v>263000</x:v>
      </x:c>
      <x:c r="C96" s="30" t="n">
        <x:v>266000</x:v>
      </x:c>
      <x:c r="D96" s="32" t="n">
        <x:v>6650</x:v>
      </x:c>
      <x:c r="E96" s="32" t="n">
        <x:v>5020</x:v>
      </x:c>
      <x:c r="F96" s="32" t="n">
        <x:v>3410</x:v>
      </x:c>
      <x:c r="G96" s="32" t="n">
        <x:v>1800</x:v>
      </x:c>
      <x:c r="H96" s="32" t="n">
        <x:v>170</x:v>
      </x:c>
      <x:c r="I96" s="32" t="n">
        <x:v>0</x:v>
      </x:c>
      <x:c r="J96" s="32" t="n">
        <x:v>0</x:v>
      </x:c>
      <x:c r="K96" s="32" t="n">
        <x:v>0</x:v>
      </x:c>
      <x:c r="L96" s="31" t="n">
        <x:v>40600</x:v>
      </x:c>
    </x:row>
    <x:row r="97" ht="13" hidden="0">
      <x:c r="A97" s="28" t="n">
        <x:v>74</x:v>
      </x:c>
      <x:c r="B97" s="29" t="n">
        <x:v>266000</x:v>
      </x:c>
      <x:c r="C97" s="30" t="n">
        <x:v>269000</x:v>
      </x:c>
      <x:c r="D97" s="32" t="n">
        <x:v>6750</x:v>
      </x:c>
      <x:c r="E97" s="32" t="n">
        <x:v>5140</x:v>
      </x:c>
      <x:c r="F97" s="32" t="n">
        <x:v>3520</x:v>
      </x:c>
      <x:c r="G97" s="32" t="n">
        <x:v>1900</x:v>
      </x:c>
      <x:c r="H97" s="32" t="n">
        <x:v>290</x:v>
      </x:c>
      <x:c r="I97" s="32" t="n">
        <x:v>0</x:v>
      </x:c>
      <x:c r="J97" s="32" t="n">
        <x:v>0</x:v>
      </x:c>
      <x:c r="K97" s="32" t="n">
        <x:v>0</x:v>
      </x:c>
      <x:c r="L97" s="31" t="n">
        <x:v>41700</x:v>
      </x:c>
    </x:row>
    <x:row r="98" ht="13" hidden="0">
      <x:c r="A98" s="28" t="n">
        <x:v>75</x:v>
      </x:c>
      <x:c r="B98" s="29" t="n">
        <x:v>269000</x:v>
      </x:c>
      <x:c r="C98" s="30" t="n">
        <x:v>272000</x:v>
      </x:c>
      <x:c r="D98" s="32" t="n">
        <x:v>6860</x:v>
      </x:c>
      <x:c r="E98" s="32" t="n">
        <x:v>5240</x:v>
      </x:c>
      <x:c r="F98" s="32" t="n">
        <x:v>3620</x:v>
      </x:c>
      <x:c r="G98" s="32" t="n">
        <x:v>2010</x:v>
      </x:c>
      <x:c r="H98" s="32" t="n">
        <x:v>390</x:v>
      </x:c>
      <x:c r="I98" s="32" t="n">
        <x:v>0</x:v>
      </x:c>
      <x:c r="J98" s="32" t="n">
        <x:v>0</x:v>
      </x:c>
      <x:c r="K98" s="32" t="n">
        <x:v>0</x:v>
      </x:c>
      <x:c r="L98" s="31" t="n">
        <x:v>42700</x:v>
      </x:c>
    </x:row>
    <x:row r="99" ht="13" hidden="0">
      <x:c r="A99" s="28"/>
      <x:c r="B99" s="29"/>
      <x:c r="C99" s="30"/>
      <x:c r="D99" s="32"/>
      <x:c r="E99" s="32"/>
      <x:c r="F99" s="32"/>
      <x:c r="G99" s="32"/>
      <x:c r="H99" s="32"/>
      <x:c r="I99" s="32"/>
      <x:c r="J99" s="32"/>
      <x:c r="K99" s="32"/>
      <x:c r="L99" s="31"/>
    </x:row>
    <x:row r="100" ht="13" hidden="0">
      <x:c r="A100" s="28" t="n">
        <x:v>76</x:v>
      </x:c>
      <x:c r="B100" s="29" t="n">
        <x:v>272000</x:v>
      </x:c>
      <x:c r="C100" s="30" t="n">
        <x:v>275000</x:v>
      </x:c>
      <x:c r="D100" s="32" t="n">
        <x:v>6960</x:v>
      </x:c>
      <x:c r="E100" s="32" t="n">
        <x:v>5350</x:v>
      </x:c>
      <x:c r="F100" s="32" t="n">
        <x:v>3740</x:v>
      </x:c>
      <x:c r="G100" s="32" t="n">
        <x:v>2110</x:v>
      </x:c>
      <x:c r="H100" s="32" t="n">
        <x:v>500</x:v>
      </x:c>
      <x:c r="I100" s="32" t="n">
        <x:v>0</x:v>
      </x:c>
      <x:c r="J100" s="32" t="n">
        <x:v>0</x:v>
      </x:c>
      <x:c r="K100" s="32" t="n">
        <x:v>0</x:v>
      </x:c>
      <x:c r="L100" s="31" t="n">
        <x:v>43700</x:v>
      </x:c>
    </x:row>
    <x:row r="101" ht="13" hidden="0">
      <x:c r="A101" s="28" t="n">
        <x:v>77</x:v>
      </x:c>
      <x:c r="B101" s="29" t="n">
        <x:v>275000</x:v>
      </x:c>
      <x:c r="C101" s="30" t="n">
        <x:v>278000</x:v>
      </x:c>
      <x:c r="D101" s="32" t="n">
        <x:v>7080</x:v>
      </x:c>
      <x:c r="E101" s="32" t="n">
        <x:v>5450</x:v>
      </x:c>
      <x:c r="F101" s="32" t="n">
        <x:v>3840</x:v>
      </x:c>
      <x:c r="G101" s="32" t="n">
        <x:v>2230</x:v>
      </x:c>
      <x:c r="H101" s="32" t="n">
        <x:v>600</x:v>
      </x:c>
      <x:c r="I101" s="32" t="n">
        <x:v>0</x:v>
      </x:c>
      <x:c r="J101" s="32" t="n">
        <x:v>0</x:v>
      </x:c>
      <x:c r="K101" s="32" t="n">
        <x:v>0</x:v>
      </x:c>
      <x:c r="L101" s="31" t="n">
        <x:v>44700</x:v>
      </x:c>
    </x:row>
    <x:row r="102" ht="13" hidden="0">
      <x:c r="A102" s="28" t="n">
        <x:v>78</x:v>
      </x:c>
      <x:c r="B102" s="29" t="n">
        <x:v>278000</x:v>
      </x:c>
      <x:c r="C102" s="30" t="n">
        <x:v>281000</x:v>
      </x:c>
      <x:c r="D102" s="32" t="n">
        <x:v>7180</x:v>
      </x:c>
      <x:c r="E102" s="32" t="n">
        <x:v>5560</x:v>
      </x:c>
      <x:c r="F102" s="32" t="n">
        <x:v>3950</x:v>
      </x:c>
      <x:c r="G102" s="32" t="n">
        <x:v>2330</x:v>
      </x:c>
      <x:c r="H102" s="32" t="n">
        <x:v>710</x:v>
      </x:c>
      <x:c r="I102" s="32" t="n">
        <x:v>0</x:v>
      </x:c>
      <x:c r="J102" s="32" t="n">
        <x:v>0</x:v>
      </x:c>
      <x:c r="K102" s="32" t="n">
        <x:v>0</x:v>
      </x:c>
      <x:c r="L102" s="31" t="n">
        <x:v>45600</x:v>
      </x:c>
    </x:row>
    <x:row r="103" ht="13" hidden="0">
      <x:c r="A103" s="28" t="n">
        <x:v>79</x:v>
      </x:c>
      <x:c r="B103" s="29" t="n">
        <x:v>281000</x:v>
      </x:c>
      <x:c r="C103" s="30" t="n">
        <x:v>284000</x:v>
      </x:c>
      <x:c r="D103" s="32" t="n">
        <x:v>7290</x:v>
      </x:c>
      <x:c r="E103" s="32" t="n">
        <x:v>5670</x:v>
      </x:c>
      <x:c r="F103" s="32" t="n">
        <x:v>4050</x:v>
      </x:c>
      <x:c r="G103" s="32" t="n">
        <x:v>2440</x:v>
      </x:c>
      <x:c r="H103" s="32" t="n">
        <x:v>820</x:v>
      </x:c>
      <x:c r="I103" s="32" t="n">
        <x:v>0</x:v>
      </x:c>
      <x:c r="J103" s="32" t="n">
        <x:v>0</x:v>
      </x:c>
      <x:c r="K103" s="32" t="n">
        <x:v>0</x:v>
      </x:c>
      <x:c r="L103" s="31" t="n">
        <x:v>46700</x:v>
      </x:c>
    </x:row>
    <x:row r="104" ht="13" hidden="0">
      <x:c r="A104" s="28" t="n">
        <x:v>80</x:v>
      </x:c>
      <x:c r="B104" s="29" t="n">
        <x:v>284000</x:v>
      </x:c>
      <x:c r="C104" s="30" t="n">
        <x:v>287000</x:v>
      </x:c>
      <x:c r="D104" s="32" t="n">
        <x:v>7390</x:v>
      </x:c>
      <x:c r="E104" s="32" t="n">
        <x:v>5780</x:v>
      </x:c>
      <x:c r="F104" s="32" t="n">
        <x:v>4170</x:v>
      </x:c>
      <x:c r="G104" s="32" t="n">
        <x:v>2540</x:v>
      </x:c>
      <x:c r="H104" s="32" t="n">
        <x:v>930</x:v>
      </x:c>
      <x:c r="I104" s="32" t="n">
        <x:v>0</x:v>
      </x:c>
      <x:c r="J104" s="32" t="n">
        <x:v>0</x:v>
      </x:c>
      <x:c r="K104" s="32" t="n">
        <x:v>0</x:v>
      </x:c>
      <x:c r="L104" s="31" t="n">
        <x:v>47800</x:v>
      </x:c>
    </x:row>
    <x:row r="105" ht="13" hidden="0">
      <x:c r="A105" s="28"/>
      <x:c r="B105" s="29"/>
      <x:c r="C105" s="30"/>
      <x:c r="D105" s="32"/>
      <x:c r="E105" s="32"/>
      <x:c r="F105" s="32"/>
      <x:c r="G105" s="32"/>
      <x:c r="H105" s="32"/>
      <x:c r="I105" s="32"/>
      <x:c r="J105" s="32"/>
      <x:c r="K105" s="32"/>
      <x:c r="L105" s="31"/>
    </x:row>
    <x:row r="106" ht="13" hidden="0">
      <x:c r="A106" s="28" t="n">
        <x:v>81</x:v>
      </x:c>
      <x:c r="B106" s="29" t="n">
        <x:v>287000</x:v>
      </x:c>
      <x:c r="C106" s="30" t="n">
        <x:v>290000</x:v>
      </x:c>
      <x:c r="D106" s="32" t="n">
        <x:v>7500</x:v>
      </x:c>
      <x:c r="E106" s="32" t="n">
        <x:v>5880</x:v>
      </x:c>
      <x:c r="F106" s="32" t="n">
        <x:v>4270</x:v>
      </x:c>
      <x:c r="G106" s="32" t="n">
        <x:v>2650</x:v>
      </x:c>
      <x:c r="H106" s="32" t="n">
        <x:v>1030</x:v>
      </x:c>
      <x:c r="I106" s="32" t="n">
        <x:v>0</x:v>
      </x:c>
      <x:c r="J106" s="32" t="n">
        <x:v>0</x:v>
      </x:c>
      <x:c r="K106" s="32" t="n">
        <x:v>0</x:v>
      </x:c>
      <x:c r="L106" s="31" t="n">
        <x:v>48900</x:v>
      </x:c>
    </x:row>
    <x:row r="107" ht="13" hidden="0">
      <x:c r="A107" s="28" t="n">
        <x:v>82</x:v>
      </x:c>
      <x:c r="B107" s="29" t="n">
        <x:v>290000</x:v>
      </x:c>
      <x:c r="C107" s="30" t="n">
        <x:v>293000</x:v>
      </x:c>
      <x:c r="D107" s="32" t="n">
        <x:v>7610</x:v>
      </x:c>
      <x:c r="E107" s="32" t="n">
        <x:v>5990</x:v>
      </x:c>
      <x:c r="F107" s="32" t="n">
        <x:v>4380</x:v>
      </x:c>
      <x:c r="G107" s="32" t="n">
        <x:v>2760</x:v>
      </x:c>
      <x:c r="H107" s="32" t="n">
        <x:v>1140</x:v>
      </x:c>
      <x:c r="I107" s="32" t="n">
        <x:v>0</x:v>
      </x:c>
      <x:c r="J107" s="32" t="n">
        <x:v>0</x:v>
      </x:c>
      <x:c r="K107" s="32" t="n">
        <x:v>0</x:v>
      </x:c>
      <x:c r="L107" s="31" t="n">
        <x:v>50000</x:v>
      </x:c>
    </x:row>
    <x:row r="108" ht="13" hidden="0">
      <x:c r="A108" s="28" t="n">
        <x:v>83</x:v>
      </x:c>
      <x:c r="B108" s="29" t="n">
        <x:v>293000</x:v>
      </x:c>
      <x:c r="C108" s="30" t="n">
        <x:v>296000</x:v>
      </x:c>
      <x:c r="D108" s="32" t="n">
        <x:v>7720</x:v>
      </x:c>
      <x:c r="E108" s="32" t="n">
        <x:v>6100</x:v>
      </x:c>
      <x:c r="F108" s="32" t="n">
        <x:v>4480</x:v>
      </x:c>
      <x:c r="G108" s="32" t="n">
        <x:v>2870</x:v>
      </x:c>
      <x:c r="H108" s="32" t="n">
        <x:v>1250</x:v>
      </x:c>
      <x:c r="I108" s="32" t="n">
        <x:v>0</x:v>
      </x:c>
      <x:c r="J108" s="32" t="n">
        <x:v>0</x:v>
      </x:c>
      <x:c r="K108" s="32" t="n">
        <x:v>0</x:v>
      </x:c>
      <x:c r="L108" s="31" t="n">
        <x:v>51300</x:v>
      </x:c>
    </x:row>
    <x:row r="109" ht="13" hidden="0">
      <x:c r="A109" s="28" t="n">
        <x:v>84</x:v>
      </x:c>
      <x:c r="B109" s="29" t="n">
        <x:v>296000</x:v>
      </x:c>
      <x:c r="C109" s="30" t="n">
        <x:v>299000</x:v>
      </x:c>
      <x:c r="D109" s="32" t="n">
        <x:v>7820</x:v>
      </x:c>
      <x:c r="E109" s="32" t="n">
        <x:v>6210</x:v>
      </x:c>
      <x:c r="F109" s="32" t="n">
        <x:v>4590</x:v>
      </x:c>
      <x:c r="G109" s="32" t="n">
        <x:v>2970</x:v>
      </x:c>
      <x:c r="H109" s="32" t="n">
        <x:v>1360</x:v>
      </x:c>
      <x:c r="I109" s="32" t="n">
        <x:v>0</x:v>
      </x:c>
      <x:c r="J109" s="32" t="n">
        <x:v>0</x:v>
      </x:c>
      <x:c r="K109" s="32" t="n">
        <x:v>0</x:v>
      </x:c>
      <x:c r="L109" s="31" t="n">
        <x:v>52400</x:v>
      </x:c>
    </x:row>
    <x:row r="110" ht="13" hidden="0">
      <x:c r="A110" s="28" t="n">
        <x:v>85</x:v>
      </x:c>
      <x:c r="B110" s="29" t="n">
        <x:v>299000</x:v>
      </x:c>
      <x:c r="C110" s="30" t="n">
        <x:v>302000</x:v>
      </x:c>
      <x:c r="D110" s="32" t="n">
        <x:v>7930</x:v>
      </x:c>
      <x:c r="E110" s="32" t="n">
        <x:v>6320</x:v>
      </x:c>
      <x:c r="F110" s="32" t="n">
        <x:v>4700</x:v>
      </x:c>
      <x:c r="G110" s="32" t="n">
        <x:v>3080</x:v>
      </x:c>
      <x:c r="H110" s="32" t="n">
        <x:v>1470</x:v>
      </x:c>
      <x:c r="I110" s="32" t="n">
        <x:v>0</x:v>
      </x:c>
      <x:c r="J110" s="32" t="n">
        <x:v>0</x:v>
      </x:c>
      <x:c r="K110" s="32" t="n">
        <x:v>0</x:v>
      </x:c>
      <x:c r="L110" s="31" t="n">
        <x:v>53600</x:v>
      </x:c>
    </x:row>
    <x:row r="111" ht="13" hidden="0">
      <x:c r="A111" s="28"/>
      <x:c r="B111" s="29"/>
      <x:c r="C111" s="30"/>
      <x:c r="D111" s="32"/>
      <x:c r="E111" s="32"/>
      <x:c r="F111" s="32"/>
      <x:c r="G111" s="32"/>
      <x:c r="H111" s="32"/>
      <x:c r="I111" s="32"/>
      <x:c r="J111" s="32"/>
      <x:c r="K111" s="32"/>
      <x:c r="L111" s="31"/>
    </x:row>
    <x:row r="112" ht="13" hidden="0">
      <x:c r="A112" s="28" t="n">
        <x:v>86</x:v>
      </x:c>
      <x:c r="B112" s="29" t="n">
        <x:v>302000</x:v>
      </x:c>
      <x:c r="C112" s="30" t="n">
        <x:v>305000</x:v>
      </x:c>
      <x:c r="D112" s="32" t="n">
        <x:v>8060</x:v>
      </x:c>
      <x:c r="E112" s="32" t="n">
        <x:v>6440</x:v>
      </x:c>
      <x:c r="F112" s="32" t="n">
        <x:v>4820</x:v>
      </x:c>
      <x:c r="G112" s="32" t="n">
        <x:v>3210</x:v>
      </x:c>
      <x:c r="H112" s="32" t="n">
        <x:v>1590</x:v>
      </x:c>
      <x:c r="I112" s="32" t="n">
        <x:v>0</x:v>
      </x:c>
      <x:c r="J112" s="32" t="n">
        <x:v>0</x:v>
      </x:c>
      <x:c r="K112" s="32" t="n">
        <x:v>0</x:v>
      </x:c>
      <x:c r="L112" s="31" t="n">
        <x:v>54500</x:v>
      </x:c>
    </x:row>
    <x:row r="113" ht="13" hidden="0">
      <x:c r="A113" s="28" t="n">
        <x:v>87</x:v>
      </x:c>
      <x:c r="B113" s="29" t="n">
        <x:v>305000</x:v>
      </x:c>
      <x:c r="C113" s="30" t="n">
        <x:v>308000</x:v>
      </x:c>
      <x:c r="D113" s="32" t="n">
        <x:v>8180</x:v>
      </x:c>
      <x:c r="E113" s="32" t="n">
        <x:v>6570</x:v>
      </x:c>
      <x:c r="F113" s="32" t="n">
        <x:v>4940</x:v>
      </x:c>
      <x:c r="G113" s="32" t="n">
        <x:v>3330</x:v>
      </x:c>
      <x:c r="H113" s="32" t="n">
        <x:v>1720</x:v>
      </x:c>
      <x:c r="I113" s="32" t="n">
        <x:v>0</x:v>
      </x:c>
      <x:c r="J113" s="32" t="n">
        <x:v>0</x:v>
      </x:c>
      <x:c r="K113" s="32" t="n">
        <x:v>0</x:v>
      </x:c>
      <x:c r="L113" s="31" t="n">
        <x:v>55200</x:v>
      </x:c>
    </x:row>
    <x:row r="114" ht="13" hidden="0">
      <x:c r="A114" s="28" t="n">
        <x:v>88</x:v>
      </x:c>
      <x:c r="B114" s="29" t="n">
        <x:v>308000</x:v>
      </x:c>
      <x:c r="C114" s="30" t="n">
        <x:v>311000</x:v>
      </x:c>
      <x:c r="D114" s="32" t="n">
        <x:v>8300</x:v>
      </x:c>
      <x:c r="E114" s="32" t="n">
        <x:v>6690</x:v>
      </x:c>
      <x:c r="F114" s="32" t="n">
        <x:v>5060</x:v>
      </x:c>
      <x:c r="G114" s="32" t="n">
        <x:v>3450</x:v>
      </x:c>
      <x:c r="H114" s="32" t="n">
        <x:v>1840</x:v>
      </x:c>
      <x:c r="I114" s="32" t="n">
        <x:v>210</x:v>
      </x:c>
      <x:c r="J114" s="32" t="n">
        <x:v>0</x:v>
      </x:c>
      <x:c r="K114" s="32" t="n">
        <x:v>0</x:v>
      </x:c>
      <x:c r="L114" s="31" t="n">
        <x:v>56100</x:v>
      </x:c>
    </x:row>
    <x:row r="115" ht="13" hidden="0">
      <x:c r="A115" s="28" t="n">
        <x:v>89</x:v>
      </x:c>
      <x:c r="B115" s="29" t="n">
        <x:v>311000</x:v>
      </x:c>
      <x:c r="C115" s="30" t="n">
        <x:v>314000</x:v>
      </x:c>
      <x:c r="D115" s="32" t="n">
        <x:v>8550</x:v>
      </x:c>
      <x:c r="E115" s="32" t="n">
        <x:v>6810</x:v>
      </x:c>
      <x:c r="F115" s="32" t="n">
        <x:v>5190</x:v>
      </x:c>
      <x:c r="G115" s="32" t="n">
        <x:v>3570</x:v>
      </x:c>
      <x:c r="H115" s="32" t="n">
        <x:v>1960</x:v>
      </x:c>
      <x:c r="I115" s="32" t="n">
        <x:v>340</x:v>
      </x:c>
      <x:c r="J115" s="32" t="n">
        <x:v>0</x:v>
      </x:c>
      <x:c r="K115" s="32" t="n">
        <x:v>0</x:v>
      </x:c>
      <x:c r="L115" s="31" t="n">
        <x:v>56900</x:v>
      </x:c>
    </x:row>
    <x:row r="116" ht="13" hidden="0">
      <x:c r="A116" s="28" t="n">
        <x:v>90</x:v>
      </x:c>
      <x:c r="B116" s="29" t="n">
        <x:v>314000</x:v>
      </x:c>
      <x:c r="C116" s="30" t="n">
        <x:v>317000</x:v>
      </x:c>
      <x:c r="D116" s="32" t="n">
        <x:v>8790</x:v>
      </x:c>
      <x:c r="E116" s="32" t="n">
        <x:v>6930</x:v>
      </x:c>
      <x:c r="F116" s="32" t="n">
        <x:v>5310</x:v>
      </x:c>
      <x:c r="G116" s="32" t="n">
        <x:v>3700</x:v>
      </x:c>
      <x:c r="H116" s="32" t="n">
        <x:v>2080</x:v>
      </x:c>
      <x:c r="I116" s="32" t="n">
        <x:v>460</x:v>
      </x:c>
      <x:c r="J116" s="32" t="n">
        <x:v>0</x:v>
      </x:c>
      <x:c r="K116" s="32" t="n">
        <x:v>0</x:v>
      </x:c>
      <x:c r="L116" s="31" t="n">
        <x:v>57700</x:v>
      </x:c>
    </x:row>
    <x:row r="117" ht="13" hidden="0">
      <x:c r="A117" s="28"/>
      <x:c r="B117" s="29"/>
      <x:c r="C117" s="30"/>
      <x:c r="D117" s="32"/>
      <x:c r="E117" s="32"/>
      <x:c r="F117" s="32"/>
      <x:c r="G117" s="32"/>
      <x:c r="H117" s="32"/>
      <x:c r="I117" s="32"/>
      <x:c r="J117" s="32"/>
      <x:c r="K117" s="32"/>
      <x:c r="L117" s="31"/>
    </x:row>
    <x:row r="118" ht="13" hidden="0">
      <x:c r="A118" s="28" t="n">
        <x:v>91</x:v>
      </x:c>
      <x:c r="B118" s="29" t="n">
        <x:v>317000</x:v>
      </x:c>
      <x:c r="C118" s="30" t="n">
        <x:v>320000</x:v>
      </x:c>
      <x:c r="D118" s="32" t="n">
        <x:v>9040</x:v>
      </x:c>
      <x:c r="E118" s="32" t="n">
        <x:v>7060</x:v>
      </x:c>
      <x:c r="F118" s="32" t="n">
        <x:v>5430</x:v>
      </x:c>
      <x:c r="G118" s="32" t="n">
        <x:v>3820</x:v>
      </x:c>
      <x:c r="H118" s="32" t="n">
        <x:v>2210</x:v>
      </x:c>
      <x:c r="I118" s="32" t="n">
        <x:v>580</x:v>
      </x:c>
      <x:c r="J118" s="32" t="n">
        <x:v>0</x:v>
      </x:c>
      <x:c r="K118" s="32" t="n">
        <x:v>0</x:v>
      </x:c>
      <x:c r="L118" s="31" t="n">
        <x:v>58500</x:v>
      </x:c>
    </x:row>
    <x:row r="119" ht="13" hidden="0">
      <x:c r="A119" s="28" t="n">
        <x:v>92</x:v>
      </x:c>
      <x:c r="B119" s="29" t="n">
        <x:v>320000</x:v>
      </x:c>
      <x:c r="C119" s="30" t="n">
        <x:v>323000</x:v>
      </x:c>
      <x:c r="D119" s="32" t="n">
        <x:v>9280</x:v>
      </x:c>
      <x:c r="E119" s="32" t="n">
        <x:v>7180</x:v>
      </x:c>
      <x:c r="F119" s="32" t="n">
        <x:v>5550</x:v>
      </x:c>
      <x:c r="G119" s="32" t="n">
        <x:v>3940</x:v>
      </x:c>
      <x:c r="H119" s="32" t="n">
        <x:v>2330</x:v>
      </x:c>
      <x:c r="I119" s="32" t="n">
        <x:v>700</x:v>
      </x:c>
      <x:c r="J119" s="32" t="n">
        <x:v>0</x:v>
      </x:c>
      <x:c r="K119" s="32" t="n">
        <x:v>0</x:v>
      </x:c>
      <x:c r="L119" s="31" t="n">
        <x:v>59500</x:v>
      </x:c>
    </x:row>
    <x:row r="120" ht="13" hidden="0">
      <x:c r="A120" s="28" t="n">
        <x:v>93</x:v>
      </x:c>
      <x:c r="B120" s="29" t="n">
        <x:v>323000</x:v>
      </x:c>
      <x:c r="C120" s="30" t="n">
        <x:v>326000</x:v>
      </x:c>
      <x:c r="D120" s="32" t="n">
        <x:v>9530</x:v>
      </x:c>
      <x:c r="E120" s="32" t="n">
        <x:v>7300</x:v>
      </x:c>
      <x:c r="F120" s="32" t="n">
        <x:v>5680</x:v>
      </x:c>
      <x:c r="G120" s="32" t="n">
        <x:v>4060</x:v>
      </x:c>
      <x:c r="H120" s="32" t="n">
        <x:v>2450</x:v>
      </x:c>
      <x:c r="I120" s="32" t="n">
        <x:v>830</x:v>
      </x:c>
      <x:c r="J120" s="32" t="n">
        <x:v>0</x:v>
      </x:c>
      <x:c r="K120" s="32" t="n">
        <x:v>0</x:v>
      </x:c>
      <x:c r="L120" s="31" t="n">
        <x:v>60500</x:v>
      </x:c>
    </x:row>
    <x:row r="121" ht="13" hidden="0">
      <x:c r="A121" s="28" t="n">
        <x:v>94</x:v>
      </x:c>
      <x:c r="B121" s="29" t="n">
        <x:v>326000</x:v>
      </x:c>
      <x:c r="C121" s="30" t="n">
        <x:v>329000</x:v>
      </x:c>
      <x:c r="D121" s="32" t="n">
        <x:v>9770</x:v>
      </x:c>
      <x:c r="E121" s="32" t="n">
        <x:v>7420</x:v>
      </x:c>
      <x:c r="F121" s="32" t="n">
        <x:v>5800</x:v>
      </x:c>
      <x:c r="G121" s="32" t="n">
        <x:v>4190</x:v>
      </x:c>
      <x:c r="H121" s="32" t="n">
        <x:v>2570</x:v>
      </x:c>
      <x:c r="I121" s="32" t="n">
        <x:v>950</x:v>
      </x:c>
      <x:c r="J121" s="32" t="n">
        <x:v>0</x:v>
      </x:c>
      <x:c r="K121" s="32" t="n">
        <x:v>0</x:v>
      </x:c>
      <x:c r="L121" s="31" t="n">
        <x:v>61600</x:v>
      </x:c>
    </x:row>
    <x:row r="122" ht="13" hidden="0">
      <x:c r="A122" s="28" t="n">
        <x:v>95</x:v>
      </x:c>
      <x:c r="B122" s="29" t="n">
        <x:v>329000</x:v>
      </x:c>
      <x:c r="C122" s="30" t="n">
        <x:v>332000</x:v>
      </x:c>
      <x:c r="D122" s="32" t="n">
        <x:v>10020</x:v>
      </x:c>
      <x:c r="E122" s="32" t="n">
        <x:v>7550</x:v>
      </x:c>
      <x:c r="F122" s="32" t="n">
        <x:v>5920</x:v>
      </x:c>
      <x:c r="G122" s="32" t="n">
        <x:v>4310</x:v>
      </x:c>
      <x:c r="H122" s="32" t="n">
        <x:v>2700</x:v>
      </x:c>
      <x:c r="I122" s="32" t="n">
        <x:v>1070</x:v>
      </x:c>
      <x:c r="J122" s="32" t="n">
        <x:v>0</x:v>
      </x:c>
      <x:c r="K122" s="32" t="n">
        <x:v>0</x:v>
      </x:c>
      <x:c r="L122" s="31" t="n">
        <x:v>62600</x:v>
      </x:c>
    </x:row>
    <x:row r="123" ht="13" hidden="0">
      <x:c r="A123" s="33"/>
      <x:c r="B123" s="34"/>
      <x:c r="C123" s="35"/>
      <x:c r="D123" s="36"/>
      <x:c r="E123" s="36"/>
      <x:c r="F123" s="36"/>
      <x:c r="G123" s="36"/>
      <x:c r="H123" s="36"/>
      <x:c r="I123" s="36"/>
      <x:c r="J123" s="36"/>
      <x:c r="K123" s="36"/>
      <x:c r="L123" s="37"/>
    </x:row>
    <x:row r="124" ht="13" hidden="0">
      <x:c r="A124" s="28" t="n">
        <x:v>96</x:v>
      </x:c>
      <x:c r="B124" s="29" t="n">
        <x:v>332000</x:v>
      </x:c>
      <x:c r="C124" s="30" t="n">
        <x:v>335000</x:v>
      </x:c>
      <x:c r="D124" s="32" t="n">
        <x:v>10260</x:v>
      </x:c>
      <x:c r="E124" s="32" t="n">
        <x:v>7670</x:v>
      </x:c>
      <x:c r="F124" s="32" t="n">
        <x:v>6040</x:v>
      </x:c>
      <x:c r="G124" s="32" t="n">
        <x:v>4430</x:v>
      </x:c>
      <x:c r="H124" s="32" t="n">
        <x:v>2820</x:v>
      </x:c>
      <x:c r="I124" s="32" t="n">
        <x:v>1190</x:v>
      </x:c>
      <x:c r="J124" s="32" t="n">
        <x:v>0</x:v>
      </x:c>
      <x:c r="K124" s="32" t="n">
        <x:v>0</x:v>
      </x:c>
      <x:c r="L124" s="31" t="n">
        <x:v>63700</x:v>
      </x:c>
    </x:row>
    <x:row r="125" ht="13" hidden="0">
      <x:c r="A125" s="28" t="n">
        <x:v>97</x:v>
      </x:c>
      <x:c r="B125" s="29" t="n">
        <x:v>335000</x:v>
      </x:c>
      <x:c r="C125" s="30" t="n">
        <x:v>338000</x:v>
      </x:c>
      <x:c r="D125" s="32" t="n">
        <x:v>10510</x:v>
      </x:c>
      <x:c r="E125" s="32" t="n">
        <x:v>7790</x:v>
      </x:c>
      <x:c r="F125" s="32" t="n">
        <x:v>6170</x:v>
      </x:c>
      <x:c r="G125" s="32" t="n">
        <x:v>4550</x:v>
      </x:c>
      <x:c r="H125" s="32" t="n">
        <x:v>2940</x:v>
      </x:c>
      <x:c r="I125" s="32" t="n">
        <x:v>1320</x:v>
      </x:c>
      <x:c r="J125" s="32" t="n">
        <x:v>0</x:v>
      </x:c>
      <x:c r="K125" s="32" t="n">
        <x:v>0</x:v>
      </x:c>
      <x:c r="L125" s="31" t="n">
        <x:v>64700</x:v>
      </x:c>
    </x:row>
    <x:row r="126" ht="13" hidden="0">
      <x:c r="A126" s="28" t="n">
        <x:v>98</x:v>
      </x:c>
      <x:c r="B126" s="29" t="n">
        <x:v>338000</x:v>
      </x:c>
      <x:c r="C126" s="30" t="n">
        <x:v>341000</x:v>
      </x:c>
      <x:c r="D126" s="32" t="n">
        <x:v>10750</x:v>
      </x:c>
      <x:c r="E126" s="32" t="n">
        <x:v>7910</x:v>
      </x:c>
      <x:c r="F126" s="32" t="n">
        <x:v>6290</x:v>
      </x:c>
      <x:c r="G126" s="32" t="n">
        <x:v>4680</x:v>
      </x:c>
      <x:c r="H126" s="32" t="n">
        <x:v>3060</x:v>
      </x:c>
      <x:c r="I126" s="32" t="n">
        <x:v>1440</x:v>
      </x:c>
      <x:c r="J126" s="32" t="n">
        <x:v>0</x:v>
      </x:c>
      <x:c r="K126" s="32" t="n">
        <x:v>0</x:v>
      </x:c>
      <x:c r="L126" s="31" t="n">
        <x:v>65800</x:v>
      </x:c>
    </x:row>
    <x:row r="127" ht="13" hidden="0">
      <x:c r="A127" s="28" t="n">
        <x:v>99</x:v>
      </x:c>
      <x:c r="B127" s="29" t="n">
        <x:v>341000</x:v>
      </x:c>
      <x:c r="C127" s="30" t="n">
        <x:v>344000</x:v>
      </x:c>
      <x:c r="D127" s="32" t="n">
        <x:v>11000</x:v>
      </x:c>
      <x:c r="E127" s="32" t="n">
        <x:v>8040</x:v>
      </x:c>
      <x:c r="F127" s="32" t="n">
        <x:v>6410</x:v>
      </x:c>
      <x:c r="G127" s="32" t="n">
        <x:v>4800</x:v>
      </x:c>
      <x:c r="H127" s="32" t="n">
        <x:v>3190</x:v>
      </x:c>
      <x:c r="I127" s="32" t="n">
        <x:v>1560</x:v>
      </x:c>
      <x:c r="J127" s="32" t="n">
        <x:v>0</x:v>
      </x:c>
      <x:c r="K127" s="32" t="n">
        <x:v>0</x:v>
      </x:c>
      <x:c r="L127" s="31" t="n">
        <x:v>66800</x:v>
      </x:c>
    </x:row>
    <x:row r="128" ht="13" hidden="0">
      <x:c r="A128" s="28" t="n">
        <x:v>100</x:v>
      </x:c>
      <x:c r="B128" s="29" t="n">
        <x:v>344000</x:v>
      </x:c>
      <x:c r="C128" s="30" t="n">
        <x:v>347000</x:v>
      </x:c>
      <x:c r="D128" s="32" t="n">
        <x:v>11240</x:v>
      </x:c>
      <x:c r="E128" s="32" t="n">
        <x:v>8160</x:v>
      </x:c>
      <x:c r="F128" s="32" t="n">
        <x:v>6530</x:v>
      </x:c>
      <x:c r="G128" s="32" t="n">
        <x:v>4920</x:v>
      </x:c>
      <x:c r="H128" s="32" t="n">
        <x:v>3310</x:v>
      </x:c>
      <x:c r="I128" s="32" t="n">
        <x:v>1680</x:v>
      </x:c>
      <x:c r="J128" s="32" t="n">
        <x:v>0</x:v>
      </x:c>
      <x:c r="K128" s="32" t="n">
        <x:v>0</x:v>
      </x:c>
      <x:c r="L128" s="31" t="n">
        <x:v>67800</x:v>
      </x:c>
    </x:row>
    <x:row r="129" ht="13" hidden="0">
      <x:c r="A129" s="28"/>
      <x:c r="B129" s="29"/>
      <x:c r="C129" s="30"/>
      <x:c r="D129" s="32"/>
      <x:c r="E129" s="32"/>
      <x:c r="F129" s="32"/>
      <x:c r="G129" s="32"/>
      <x:c r="H129" s="32"/>
      <x:c r="I129" s="32"/>
      <x:c r="J129" s="32"/>
      <x:c r="K129" s="32"/>
      <x:c r="L129" s="31"/>
    </x:row>
    <x:row r="130" ht="13" hidden="0">
      <x:c r="A130" s="28" t="n">
        <x:v>101</x:v>
      </x:c>
      <x:c r="B130" s="29" t="n">
        <x:v>347000</x:v>
      </x:c>
      <x:c r="C130" s="30" t="n">
        <x:v>350000</x:v>
      </x:c>
      <x:c r="D130" s="32" t="n">
        <x:v>11490</x:v>
      </x:c>
      <x:c r="E130" s="32" t="n">
        <x:v>8280</x:v>
      </x:c>
      <x:c r="F130" s="32" t="n">
        <x:v>6660</x:v>
      </x:c>
      <x:c r="G130" s="32" t="n">
        <x:v>5040</x:v>
      </x:c>
      <x:c r="H130" s="32" t="n">
        <x:v>3430</x:v>
      </x:c>
      <x:c r="I130" s="32" t="n">
        <x:v>1810</x:v>
      </x:c>
      <x:c r="J130" s="32" t="n">
        <x:v>190</x:v>
      </x:c>
      <x:c r="K130" s="32" t="n">
        <x:v>0</x:v>
      </x:c>
      <x:c r="L130" s="31" t="n">
        <x:v>68800</x:v>
      </x:c>
    </x:row>
    <x:row r="131" ht="13" hidden="0">
      <x:c r="A131" s="28" t="n">
        <x:v>102</x:v>
      </x:c>
      <x:c r="B131" s="29" t="n">
        <x:v>350000</x:v>
      </x:c>
      <x:c r="C131" s="30" t="n">
        <x:v>353000</x:v>
      </x:c>
      <x:c r="D131" s="32" t="n">
        <x:v>11730</x:v>
      </x:c>
      <x:c r="E131" s="32" t="n">
        <x:v>8500</x:v>
      </x:c>
      <x:c r="F131" s="32" t="n">
        <x:v>6780</x:v>
      </x:c>
      <x:c r="G131" s="32" t="n">
        <x:v>5170</x:v>
      </x:c>
      <x:c r="H131" s="32" t="n">
        <x:v>3550</x:v>
      </x:c>
      <x:c r="I131" s="32" t="n">
        <x:v>1930</x:v>
      </x:c>
      <x:c r="J131" s="32" t="n">
        <x:v>320</x:v>
      </x:c>
      <x:c r="K131" s="32" t="n">
        <x:v>0</x:v>
      </x:c>
      <x:c r="L131" s="31" t="n">
        <x:v>69800</x:v>
      </x:c>
    </x:row>
    <x:row r="132" ht="13" hidden="0">
      <x:c r="A132" s="28" t="n">
        <x:v>103</x:v>
      </x:c>
      <x:c r="B132" s="29" t="n">
        <x:v>353000</x:v>
      </x:c>
      <x:c r="C132" s="30" t="n">
        <x:v>356000</x:v>
      </x:c>
      <x:c r="D132" s="32" t="n">
        <x:v>11980</x:v>
      </x:c>
      <x:c r="E132" s="32" t="n">
        <x:v>8750</x:v>
      </x:c>
      <x:c r="F132" s="32" t="n">
        <x:v>6900</x:v>
      </x:c>
      <x:c r="G132" s="32" t="n">
        <x:v>5290</x:v>
      </x:c>
      <x:c r="H132" s="32" t="n">
        <x:v>3680</x:v>
      </x:c>
      <x:c r="I132" s="32" t="n">
        <x:v>2050</x:v>
      </x:c>
      <x:c r="J132" s="32" t="n">
        <x:v>440</x:v>
      </x:c>
      <x:c r="K132" s="32" t="n">
        <x:v>0</x:v>
      </x:c>
      <x:c r="L132" s="31" t="n">
        <x:v>70900</x:v>
      </x:c>
    </x:row>
    <x:row r="133" ht="13" hidden="0">
      <x:c r="A133" s="28" t="n">
        <x:v>104</x:v>
      </x:c>
      <x:c r="B133" s="29" t="n">
        <x:v>356000</x:v>
      </x:c>
      <x:c r="C133" s="30" t="n">
        <x:v>359000</x:v>
      </x:c>
      <x:c r="D133" s="32" t="n">
        <x:v>12220</x:v>
      </x:c>
      <x:c r="E133" s="32" t="n">
        <x:v>9000</x:v>
      </x:c>
      <x:c r="F133" s="32" t="n">
        <x:v>7020</x:v>
      </x:c>
      <x:c r="G133" s="32" t="n">
        <x:v>5410</x:v>
      </x:c>
      <x:c r="H133" s="32" t="n">
        <x:v>3800</x:v>
      </x:c>
      <x:c r="I133" s="32" t="n">
        <x:v>2170</x:v>
      </x:c>
      <x:c r="J133" s="32" t="n">
        <x:v>560</x:v>
      </x:c>
      <x:c r="K133" s="32" t="n">
        <x:v>0</x:v>
      </x:c>
      <x:c r="L133" s="31" t="n">
        <x:v>71900</x:v>
      </x:c>
    </x:row>
    <x:row r="134" ht="13" hidden="0">
      <x:c r="A134" s="28" t="n">
        <x:v>105</x:v>
      </x:c>
      <x:c r="B134" s="29" t="n">
        <x:v>359000</x:v>
      </x:c>
      <x:c r="C134" s="30" t="n">
        <x:v>362000</x:v>
      </x:c>
      <x:c r="D134" s="32" t="n">
        <x:v>12470</x:v>
      </x:c>
      <x:c r="E134" s="32" t="n">
        <x:v>9240</x:v>
      </x:c>
      <x:c r="F134" s="32" t="n">
        <x:v>7150</x:v>
      </x:c>
      <x:c r="G134" s="32" t="n">
        <x:v>5530</x:v>
      </x:c>
      <x:c r="H134" s="32" t="n">
        <x:v>3920</x:v>
      </x:c>
      <x:c r="I134" s="32" t="n">
        <x:v>2300</x:v>
      </x:c>
      <x:c r="J134" s="32" t="n">
        <x:v>680</x:v>
      </x:c>
      <x:c r="K134" s="32" t="n">
        <x:v>0</x:v>
      </x:c>
      <x:c r="L134" s="31" t="n">
        <x:v>72900</x:v>
      </x:c>
    </x:row>
    <x:row r="135" ht="13" hidden="0">
      <x:c r="A135" s="28"/>
      <x:c r="B135" s="29"/>
      <x:c r="C135" s="30"/>
      <x:c r="D135" s="32"/>
      <x:c r="E135" s="32"/>
      <x:c r="F135" s="32"/>
      <x:c r="G135" s="32"/>
      <x:c r="H135" s="32"/>
      <x:c r="I135" s="32"/>
      <x:c r="J135" s="32"/>
      <x:c r="K135" s="32"/>
      <x:c r="L135" s="31"/>
    </x:row>
    <x:row r="136" ht="13" hidden="0">
      <x:c r="A136" s="28" t="n">
        <x:v>106</x:v>
      </x:c>
      <x:c r="B136" s="29" t="n">
        <x:v>362000</x:v>
      </x:c>
      <x:c r="C136" s="30" t="n">
        <x:v>365000</x:v>
      </x:c>
      <x:c r="D136" s="32" t="n">
        <x:v>12710</x:v>
      </x:c>
      <x:c r="E136" s="32" t="n">
        <x:v>9490</x:v>
      </x:c>
      <x:c r="F136" s="32" t="n">
        <x:v>7270</x:v>
      </x:c>
      <x:c r="G136" s="32" t="n">
        <x:v>5660</x:v>
      </x:c>
      <x:c r="H136" s="32" t="n">
        <x:v>4040</x:v>
      </x:c>
      <x:c r="I136" s="32" t="n">
        <x:v>2420</x:v>
      </x:c>
      <x:c r="J136" s="32" t="n">
        <x:v>810</x:v>
      </x:c>
      <x:c r="K136" s="32" t="n">
        <x:v>0</x:v>
      </x:c>
      <x:c r="L136" s="31" t="n">
        <x:v>73900</x:v>
      </x:c>
    </x:row>
    <x:row r="137" ht="13" hidden="0">
      <x:c r="A137" s="28" t="n">
        <x:v>107</x:v>
      </x:c>
      <x:c r="B137" s="29" t="n">
        <x:v>365000</x:v>
      </x:c>
      <x:c r="C137" s="30" t="n">
        <x:v>368000</x:v>
      </x:c>
      <x:c r="D137" s="32" t="n">
        <x:v>12960</x:v>
      </x:c>
      <x:c r="E137" s="32" t="n">
        <x:v>9730</x:v>
      </x:c>
      <x:c r="F137" s="32" t="n">
        <x:v>7390</x:v>
      </x:c>
      <x:c r="G137" s="32" t="n">
        <x:v>5780</x:v>
      </x:c>
      <x:c r="H137" s="32" t="n">
        <x:v>4170</x:v>
      </x:c>
      <x:c r="I137" s="32" t="n">
        <x:v>2540</x:v>
      </x:c>
      <x:c r="J137" s="32" t="n">
        <x:v>930</x:v>
      </x:c>
      <x:c r="K137" s="32" t="n">
        <x:v>0</x:v>
      </x:c>
      <x:c r="L137" s="31" t="n">
        <x:v>74900</x:v>
      </x:c>
    </x:row>
    <x:row r="138" ht="13" hidden="0">
      <x:c r="A138" s="28" t="n">
        <x:v>108</x:v>
      </x:c>
      <x:c r="B138" s="29" t="n">
        <x:v>368000</x:v>
      </x:c>
      <x:c r="C138" s="30" t="n">
        <x:v>371000</x:v>
      </x:c>
      <x:c r="D138" s="32" t="n">
        <x:v>13200</x:v>
      </x:c>
      <x:c r="E138" s="32" t="n">
        <x:v>9980</x:v>
      </x:c>
      <x:c r="F138" s="32" t="n">
        <x:v>7510</x:v>
      </x:c>
      <x:c r="G138" s="32" t="n">
        <x:v>5900</x:v>
      </x:c>
      <x:c r="H138" s="32" t="n">
        <x:v>4290</x:v>
      </x:c>
      <x:c r="I138" s="32" t="n">
        <x:v>2660</x:v>
      </x:c>
      <x:c r="J138" s="32" t="n">
        <x:v>1050</x:v>
      </x:c>
      <x:c r="K138" s="32" t="n">
        <x:v>0</x:v>
      </x:c>
      <x:c r="L138" s="31" t="n">
        <x:v>76000</x:v>
      </x:c>
    </x:row>
    <x:row r="139" ht="13" hidden="0">
      <x:c r="A139" s="28" t="n">
        <x:v>109</x:v>
      </x:c>
      <x:c r="B139" s="29" t="n">
        <x:v>371000</x:v>
      </x:c>
      <x:c r="C139" s="30" t="n">
        <x:v>374000</x:v>
      </x:c>
      <x:c r="D139" s="32" t="n">
        <x:v>13450</x:v>
      </x:c>
      <x:c r="E139" s="32" t="n">
        <x:v>10220</x:v>
      </x:c>
      <x:c r="F139" s="32" t="n">
        <x:v>7640</x:v>
      </x:c>
      <x:c r="G139" s="32" t="n">
        <x:v>6020</x:v>
      </x:c>
      <x:c r="H139" s="32" t="n">
        <x:v>4410</x:v>
      </x:c>
      <x:c r="I139" s="32" t="n">
        <x:v>2790</x:v>
      </x:c>
      <x:c r="J139" s="32" t="n">
        <x:v>1170</x:v>
      </x:c>
      <x:c r="K139" s="32" t="n">
        <x:v>0</x:v>
      </x:c>
      <x:c r="L139" s="31" t="n">
        <x:v>76900</x:v>
      </x:c>
    </x:row>
    <x:row r="140" ht="13" hidden="0">
      <x:c r="A140" s="28" t="n">
        <x:v>110</x:v>
      </x:c>
      <x:c r="B140" s="29" t="n">
        <x:v>374000</x:v>
      </x:c>
      <x:c r="C140" s="30" t="n">
        <x:v>377000</x:v>
      </x:c>
      <x:c r="D140" s="32" t="n">
        <x:v>13690</x:v>
      </x:c>
      <x:c r="E140" s="32" t="n">
        <x:v>10470</x:v>
      </x:c>
      <x:c r="F140" s="32" t="n">
        <x:v>7760</x:v>
      </x:c>
      <x:c r="G140" s="32" t="n">
        <x:v>6150</x:v>
      </x:c>
      <x:c r="H140" s="32" t="n">
        <x:v>4530</x:v>
      </x:c>
      <x:c r="I140" s="32" t="n">
        <x:v>2910</x:v>
      </x:c>
      <x:c r="J140" s="32" t="n">
        <x:v>1300</x:v>
      </x:c>
      <x:c r="K140" s="32" t="n">
        <x:v>0</x:v>
      </x:c>
      <x:c r="L140" s="31" t="n">
        <x:v>77800</x:v>
      </x:c>
    </x:row>
    <x:row r="141" ht="13" hidden="0">
      <x:c r="A141" s="28"/>
      <x:c r="B141" s="29"/>
      <x:c r="C141" s="30"/>
      <x:c r="D141" s="32"/>
      <x:c r="E141" s="32"/>
      <x:c r="F141" s="32"/>
      <x:c r="G141" s="32"/>
      <x:c r="H141" s="32"/>
      <x:c r="I141" s="32"/>
      <x:c r="J141" s="32"/>
      <x:c r="K141" s="32"/>
      <x:c r="L141" s="31"/>
    </x:row>
    <x:row r="142" ht="13" hidden="0">
      <x:c r="A142" s="28" t="n">
        <x:v>111</x:v>
      </x:c>
      <x:c r="B142" s="29" t="n">
        <x:v>377000</x:v>
      </x:c>
      <x:c r="C142" s="30" t="n">
        <x:v>380000</x:v>
      </x:c>
      <x:c r="D142" s="32" t="n">
        <x:v>13940</x:v>
      </x:c>
      <x:c r="E142" s="32" t="n">
        <x:v>10710</x:v>
      </x:c>
      <x:c r="F142" s="32" t="n">
        <x:v>7880</x:v>
      </x:c>
      <x:c r="G142" s="32" t="n">
        <x:v>6270</x:v>
      </x:c>
      <x:c r="H142" s="32" t="n">
        <x:v>4660</x:v>
      </x:c>
      <x:c r="I142" s="32" t="n">
        <x:v>3030</x:v>
      </x:c>
      <x:c r="J142" s="32" t="n">
        <x:v>1420</x:v>
      </x:c>
      <x:c r="K142" s="32" t="n">
        <x:v>0</x:v>
      </x:c>
      <x:c r="L142" s="31" t="n">
        <x:v>78700</x:v>
      </x:c>
    </x:row>
    <x:row r="143" ht="13" hidden="0">
      <x:c r="A143" s="28" t="n">
        <x:v>112</x:v>
      </x:c>
      <x:c r="B143" s="29" t="n">
        <x:v>380000</x:v>
      </x:c>
      <x:c r="C143" s="30" t="n">
        <x:v>383000</x:v>
      </x:c>
      <x:c r="D143" s="32" t="n">
        <x:v>14180</x:v>
      </x:c>
      <x:c r="E143" s="32" t="n">
        <x:v>10960</x:v>
      </x:c>
      <x:c r="F143" s="32" t="n">
        <x:v>8000</x:v>
      </x:c>
      <x:c r="G143" s="32" t="n">
        <x:v>6390</x:v>
      </x:c>
      <x:c r="H143" s="32" t="n">
        <x:v>4780</x:v>
      </x:c>
      <x:c r="I143" s="32" t="n">
        <x:v>3150</x:v>
      </x:c>
      <x:c r="J143" s="32" t="n">
        <x:v>1540</x:v>
      </x:c>
      <x:c r="K143" s="32" t="n">
        <x:v>0</x:v>
      </x:c>
      <x:c r="L143" s="31" t="n">
        <x:v>79600</x:v>
      </x:c>
    </x:row>
    <x:row r="144" ht="13" hidden="0">
      <x:c r="A144" s="28" t="n">
        <x:v>113</x:v>
      </x:c>
      <x:c r="B144" s="29" t="n">
        <x:v>383000</x:v>
      </x:c>
      <x:c r="C144" s="30" t="n">
        <x:v>386000</x:v>
      </x:c>
      <x:c r="D144" s="32" t="n">
        <x:v>14430</x:v>
      </x:c>
      <x:c r="E144" s="32" t="n">
        <x:v>11200</x:v>
      </x:c>
      <x:c r="F144" s="32" t="n">
        <x:v>8130</x:v>
      </x:c>
      <x:c r="G144" s="32" t="n">
        <x:v>6510</x:v>
      </x:c>
      <x:c r="H144" s="32" t="n">
        <x:v>4900</x:v>
      </x:c>
      <x:c r="I144" s="32" t="n">
        <x:v>3280</x:v>
      </x:c>
      <x:c r="J144" s="32" t="n">
        <x:v>1660</x:v>
      </x:c>
      <x:c r="K144" s="32" t="n">
        <x:v>0</x:v>
      </x:c>
      <x:c r="L144" s="31" t="n">
        <x:v>80600</x:v>
      </x:c>
    </x:row>
    <x:row r="145" ht="13" hidden="0">
      <x:c r="A145" s="28" t="n">
        <x:v>114</x:v>
      </x:c>
      <x:c r="B145" s="29" t="n">
        <x:v>386000</x:v>
      </x:c>
      <x:c r="C145" s="30" t="n">
        <x:v>389000</x:v>
      </x:c>
      <x:c r="D145" s="32" t="n">
        <x:v>14670</x:v>
      </x:c>
      <x:c r="E145" s="32" t="n">
        <x:v>11450</x:v>
      </x:c>
      <x:c r="F145" s="32" t="n">
        <x:v>8250</x:v>
      </x:c>
      <x:c r="G145" s="32" t="n">
        <x:v>6640</x:v>
      </x:c>
      <x:c r="H145" s="32" t="n">
        <x:v>5020</x:v>
      </x:c>
      <x:c r="I145" s="32" t="n">
        <x:v>3400</x:v>
      </x:c>
      <x:c r="J145" s="32" t="n">
        <x:v>1790</x:v>
      </x:c>
      <x:c r="K145" s="32" t="n">
        <x:v>170</x:v>
      </x:c>
      <x:c r="L145" s="31" t="n">
        <x:v>82000</x:v>
      </x:c>
    </x:row>
    <x:row r="146" ht="13" hidden="0">
      <x:c r="A146" s="28" t="n">
        <x:v>115</x:v>
      </x:c>
      <x:c r="B146" s="29" t="n">
        <x:v>389000</x:v>
      </x:c>
      <x:c r="C146" s="30" t="n">
        <x:v>392000</x:v>
      </x:c>
      <x:c r="D146" s="32" t="n">
        <x:v>14920</x:v>
      </x:c>
      <x:c r="E146" s="32" t="n">
        <x:v>11690</x:v>
      </x:c>
      <x:c r="F146" s="32" t="n">
        <x:v>8450</x:v>
      </x:c>
      <x:c r="G146" s="32" t="n">
        <x:v>6760</x:v>
      </x:c>
      <x:c r="H146" s="32" t="n">
        <x:v>5150</x:v>
      </x:c>
      <x:c r="I146" s="32" t="n">
        <x:v>3520</x:v>
      </x:c>
      <x:c r="J146" s="32" t="n">
        <x:v>1910</x:v>
      </x:c>
      <x:c r="K146" s="32" t="n">
        <x:v>300</x:v>
      </x:c>
      <x:c r="L146" s="31" t="n">
        <x:v>83600</x:v>
      </x:c>
    </x:row>
    <x:row r="147" ht="13" hidden="0">
      <x:c r="A147" s="28"/>
      <x:c r="B147" s="29"/>
      <x:c r="C147" s="30"/>
      <x:c r="D147" s="32"/>
      <x:c r="E147" s="32"/>
      <x:c r="F147" s="32"/>
      <x:c r="G147" s="32"/>
      <x:c r="H147" s="32"/>
      <x:c r="I147" s="32"/>
      <x:c r="J147" s="32"/>
      <x:c r="K147" s="32"/>
      <x:c r="L147" s="31"/>
    </x:row>
    <x:row r="148" ht="13" hidden="0">
      <x:c r="A148" s="28" t="n">
        <x:v>116</x:v>
      </x:c>
      <x:c r="B148" s="29" t="n">
        <x:v>392000</x:v>
      </x:c>
      <x:c r="C148" s="30" t="n">
        <x:v>395000</x:v>
      </x:c>
      <x:c r="D148" s="32" t="n">
        <x:v>15160</x:v>
      </x:c>
      <x:c r="E148" s="32" t="n">
        <x:v>11940</x:v>
      </x:c>
      <x:c r="F148" s="32" t="n">
        <x:v>8700</x:v>
      </x:c>
      <x:c r="G148" s="32" t="n">
        <x:v>6880</x:v>
      </x:c>
      <x:c r="H148" s="32" t="n">
        <x:v>5270</x:v>
      </x:c>
      <x:c r="I148" s="32" t="n">
        <x:v>3640</x:v>
      </x:c>
      <x:c r="J148" s="32" t="n">
        <x:v>2030</x:v>
      </x:c>
      <x:c r="K148" s="32" t="n">
        <x:v>420</x:v>
      </x:c>
      <x:c r="L148" s="31" t="n">
        <x:v>85400</x:v>
      </x:c>
    </x:row>
    <x:row r="149" ht="13" hidden="0">
      <x:c r="A149" s="28" t="n">
        <x:v>117</x:v>
      </x:c>
      <x:c r="B149" s="29" t="n">
        <x:v>395000</x:v>
      </x:c>
      <x:c r="C149" s="30" t="n">
        <x:v>398000</x:v>
      </x:c>
      <x:c r="D149" s="32" t="n">
        <x:v>15410</x:v>
      </x:c>
      <x:c r="E149" s="32" t="n">
        <x:v>12180</x:v>
      </x:c>
      <x:c r="F149" s="32" t="n">
        <x:v>8940</x:v>
      </x:c>
      <x:c r="G149" s="32" t="n">
        <x:v>7000</x:v>
      </x:c>
      <x:c r="H149" s="32" t="n">
        <x:v>5390</x:v>
      </x:c>
      <x:c r="I149" s="32" t="n">
        <x:v>3770</x:v>
      </x:c>
      <x:c r="J149" s="32" t="n">
        <x:v>2150</x:v>
      </x:c>
      <x:c r="K149" s="32" t="n">
        <x:v>540</x:v>
      </x:c>
      <x:c r="L149" s="31" t="n">
        <x:v>87100</x:v>
      </x:c>
    </x:row>
    <x:row r="150" ht="13" hidden="0">
      <x:c r="A150" s="28" t="n">
        <x:v>118</x:v>
      </x:c>
      <x:c r="B150" s="29" t="n">
        <x:v>398000</x:v>
      </x:c>
      <x:c r="C150" s="30" t="n">
        <x:v>401000</x:v>
      </x:c>
      <x:c r="D150" s="32" t="n">
        <x:v>15650</x:v>
      </x:c>
      <x:c r="E150" s="32" t="n">
        <x:v>12430</x:v>
      </x:c>
      <x:c r="F150" s="32" t="n">
        <x:v>9190</x:v>
      </x:c>
      <x:c r="G150" s="32" t="n">
        <x:v>7130</x:v>
      </x:c>
      <x:c r="H150" s="32" t="n">
        <x:v>5510</x:v>
      </x:c>
      <x:c r="I150" s="32" t="n">
        <x:v>3890</x:v>
      </x:c>
      <x:c r="J150" s="32" t="n">
        <x:v>2280</x:v>
      </x:c>
      <x:c r="K150" s="32" t="n">
        <x:v>660</x:v>
      </x:c>
      <x:c r="L150" s="31" t="n">
        <x:v>88700</x:v>
      </x:c>
    </x:row>
    <x:row r="151" ht="13" hidden="0">
      <x:c r="A151" s="28" t="n">
        <x:v>119</x:v>
      </x:c>
      <x:c r="B151" s="29" t="n">
        <x:v>401000</x:v>
      </x:c>
      <x:c r="C151" s="30" t="n">
        <x:v>404000</x:v>
      </x:c>
      <x:c r="D151" s="32" t="n">
        <x:v>15900</x:v>
      </x:c>
      <x:c r="E151" s="32" t="n">
        <x:v>12670</x:v>
      </x:c>
      <x:c r="F151" s="32" t="n">
        <x:v>9430</x:v>
      </x:c>
      <x:c r="G151" s="32" t="n">
        <x:v>7250</x:v>
      </x:c>
      <x:c r="H151" s="32" t="n">
        <x:v>5640</x:v>
      </x:c>
      <x:c r="I151" s="32" t="n">
        <x:v>4010</x:v>
      </x:c>
      <x:c r="J151" s="32" t="n">
        <x:v>2400</x:v>
      </x:c>
      <x:c r="K151" s="32" t="n">
        <x:v>790</x:v>
      </x:c>
      <x:c r="L151" s="31" t="n">
        <x:v>90500</x:v>
      </x:c>
    </x:row>
    <x:row r="152" ht="13" hidden="0">
      <x:c r="A152" s="28" t="n">
        <x:v>120</x:v>
      </x:c>
      <x:c r="B152" s="29" t="n">
        <x:v>404000</x:v>
      </x:c>
      <x:c r="C152" s="30" t="n">
        <x:v>407000</x:v>
      </x:c>
      <x:c r="D152" s="32" t="n">
        <x:v>16140</x:v>
      </x:c>
      <x:c r="E152" s="32" t="n">
        <x:v>12920</x:v>
      </x:c>
      <x:c r="F152" s="32" t="n">
        <x:v>9680</x:v>
      </x:c>
      <x:c r="G152" s="32" t="n">
        <x:v>7370</x:v>
      </x:c>
      <x:c r="H152" s="32" t="n">
        <x:v>5760</x:v>
      </x:c>
      <x:c r="I152" s="32" t="n">
        <x:v>4140</x:v>
      </x:c>
      <x:c r="J152" s="32" t="n">
        <x:v>2520</x:v>
      </x:c>
      <x:c r="K152" s="32" t="n">
        <x:v>910</x:v>
      </x:c>
      <x:c r="L152" s="31" t="n">
        <x:v>92200</x:v>
      </x:c>
    </x:row>
    <x:row r="153" ht="13" hidden="0">
      <x:c r="A153" s="28"/>
      <x:c r="B153" s="29"/>
      <x:c r="C153" s="30"/>
      <x:c r="D153" s="32"/>
      <x:c r="E153" s="32"/>
      <x:c r="F153" s="32"/>
      <x:c r="G153" s="32"/>
      <x:c r="H153" s="32"/>
      <x:c r="I153" s="32"/>
      <x:c r="J153" s="32"/>
      <x:c r="K153" s="32"/>
      <x:c r="L153" s="31"/>
    </x:row>
    <x:row r="154" ht="13" hidden="0">
      <x:c r="A154" s="28" t="n">
        <x:v>121</x:v>
      </x:c>
      <x:c r="B154" s="29" t="n">
        <x:v>407000</x:v>
      </x:c>
      <x:c r="C154" s="30" t="n">
        <x:v>410000</x:v>
      </x:c>
      <x:c r="D154" s="32" t="n">
        <x:v>16390</x:v>
      </x:c>
      <x:c r="E154" s="32" t="n">
        <x:v>13160</x:v>
      </x:c>
      <x:c r="F154" s="32" t="n">
        <x:v>9920</x:v>
      </x:c>
      <x:c r="G154" s="32" t="n">
        <x:v>7490</x:v>
      </x:c>
      <x:c r="H154" s="32" t="n">
        <x:v>5880</x:v>
      </x:c>
      <x:c r="I154" s="32" t="n">
        <x:v>4260</x:v>
      </x:c>
      <x:c r="J154" s="32" t="n">
        <x:v>2640</x:v>
      </x:c>
      <x:c r="K154" s="32" t="n">
        <x:v>1030</x:v>
      </x:c>
      <x:c r="L154" s="31" t="n">
        <x:v>93800</x:v>
      </x:c>
    </x:row>
    <x:row r="155" ht="13" hidden="0">
      <x:c r="A155" s="28" t="n">
        <x:v>122</x:v>
      </x:c>
      <x:c r="B155" s="29" t="n">
        <x:v>410000</x:v>
      </x:c>
      <x:c r="C155" s="30" t="n">
        <x:v>413000</x:v>
      </x:c>
      <x:c r="D155" s="32" t="n">
        <x:v>16630</x:v>
      </x:c>
      <x:c r="E155" s="32" t="n">
        <x:v>13410</x:v>
      </x:c>
      <x:c r="F155" s="32" t="n">
        <x:v>10170</x:v>
      </x:c>
      <x:c r="G155" s="32" t="n">
        <x:v>7620</x:v>
      </x:c>
      <x:c r="H155" s="32" t="n">
        <x:v>6000</x:v>
      </x:c>
      <x:c r="I155" s="32" t="n">
        <x:v>4380</x:v>
      </x:c>
      <x:c r="J155" s="32" t="n">
        <x:v>2770</x:v>
      </x:c>
      <x:c r="K155" s="32" t="n">
        <x:v>1150</x:v>
      </x:c>
      <x:c r="L155" s="31" t="n">
        <x:v>95600</x:v>
      </x:c>
    </x:row>
    <x:row r="156" ht="13" hidden="0">
      <x:c r="A156" s="28" t="n">
        <x:v>123</x:v>
      </x:c>
      <x:c r="B156" s="29" t="n">
        <x:v>413000</x:v>
      </x:c>
      <x:c r="C156" s="30" t="n">
        <x:v>416000</x:v>
      </x:c>
      <x:c r="D156" s="32" t="n">
        <x:v>16880</x:v>
      </x:c>
      <x:c r="E156" s="32" t="n">
        <x:v>13650</x:v>
      </x:c>
      <x:c r="F156" s="32" t="n">
        <x:v>10410</x:v>
      </x:c>
      <x:c r="G156" s="32" t="n">
        <x:v>7740</x:v>
      </x:c>
      <x:c r="H156" s="32" t="n">
        <x:v>6130</x:v>
      </x:c>
      <x:c r="I156" s="32" t="n">
        <x:v>4500</x:v>
      </x:c>
      <x:c r="J156" s="32" t="n">
        <x:v>2890</x:v>
      </x:c>
      <x:c r="K156" s="32" t="n">
        <x:v>1280</x:v>
      </x:c>
      <x:c r="L156" s="31" t="n">
        <x:v>97300</x:v>
      </x:c>
    </x:row>
    <x:row r="157" ht="13" hidden="0">
      <x:c r="A157" s="28" t="n">
        <x:v>124</x:v>
      </x:c>
      <x:c r="B157" s="29" t="n">
        <x:v>416000</x:v>
      </x:c>
      <x:c r="C157" s="30" t="n">
        <x:v>419000</x:v>
      </x:c>
      <x:c r="D157" s="32" t="n">
        <x:v>17120</x:v>
      </x:c>
      <x:c r="E157" s="32" t="n">
        <x:v>13900</x:v>
      </x:c>
      <x:c r="F157" s="32" t="n">
        <x:v>10660</x:v>
      </x:c>
      <x:c r="G157" s="32" t="n">
        <x:v>7860</x:v>
      </x:c>
      <x:c r="H157" s="32" t="n">
        <x:v>6250</x:v>
      </x:c>
      <x:c r="I157" s="32" t="n">
        <x:v>4630</x:v>
      </x:c>
      <x:c r="J157" s="32" t="n">
        <x:v>3010</x:v>
      </x:c>
      <x:c r="K157" s="32" t="n">
        <x:v>1400</x:v>
      </x:c>
      <x:c r="L157" s="31" t="n">
        <x:v>98900</x:v>
      </x:c>
    </x:row>
    <x:row r="158" ht="13" hidden="0">
      <x:c r="A158" s="28" t="n">
        <x:v>125</x:v>
      </x:c>
      <x:c r="B158" s="29" t="n">
        <x:v>419000</x:v>
      </x:c>
      <x:c r="C158" s="30" t="n">
        <x:v>422000</x:v>
      </x:c>
      <x:c r="D158" s="32" t="n">
        <x:v>17370</x:v>
      </x:c>
      <x:c r="E158" s="32" t="n">
        <x:v>14140</x:v>
      </x:c>
      <x:c r="F158" s="32" t="n">
        <x:v>10900</x:v>
      </x:c>
      <x:c r="G158" s="32" t="n">
        <x:v>7980</x:v>
      </x:c>
      <x:c r="H158" s="32" t="n">
        <x:v>6370</x:v>
      </x:c>
      <x:c r="I158" s="32" t="n">
        <x:v>4750</x:v>
      </x:c>
      <x:c r="J158" s="32" t="n">
        <x:v>3130</x:v>
      </x:c>
      <x:c r="K158" s="32" t="n">
        <x:v>1520</x:v>
      </x:c>
      <x:c r="L158" s="31" t="n">
        <x:v>100700</x:v>
      </x:c>
    </x:row>
    <x:row r="159" ht="13" hidden="0">
      <x:c r="A159" s="28"/>
      <x:c r="B159" s="29"/>
      <x:c r="C159" s="30"/>
      <x:c r="D159" s="32"/>
      <x:c r="E159" s="32"/>
      <x:c r="F159" s="32"/>
      <x:c r="G159" s="32"/>
      <x:c r="H159" s="32"/>
      <x:c r="I159" s="32"/>
      <x:c r="J159" s="32"/>
      <x:c r="K159" s="32"/>
      <x:c r="L159" s="31"/>
    </x:row>
    <x:row r="160" ht="13" hidden="0">
      <x:c r="A160" s="28" t="n">
        <x:v>126</x:v>
      </x:c>
      <x:c r="B160" s="29" t="n">
        <x:v>422000</x:v>
      </x:c>
      <x:c r="C160" s="30" t="n">
        <x:v>425000</x:v>
      </x:c>
      <x:c r="D160" s="32" t="n">
        <x:v>17610</x:v>
      </x:c>
      <x:c r="E160" s="32" t="n">
        <x:v>14390</x:v>
      </x:c>
      <x:c r="F160" s="32" t="n">
        <x:v>11150</x:v>
      </x:c>
      <x:c r="G160" s="32" t="n">
        <x:v>8110</x:v>
      </x:c>
      <x:c r="H160" s="32" t="n">
        <x:v>6490</x:v>
      </x:c>
      <x:c r="I160" s="32" t="n">
        <x:v>4870</x:v>
      </x:c>
      <x:c r="J160" s="32" t="n">
        <x:v>3260</x:v>
      </x:c>
      <x:c r="K160" s="32" t="n">
        <x:v>1640</x:v>
      </x:c>
      <x:c r="L160" s="31" t="n">
        <x:v>102400</x:v>
      </x:c>
    </x:row>
    <x:row r="161" ht="13" hidden="0">
      <x:c r="A161" s="28" t="n">
        <x:v>127</x:v>
      </x:c>
      <x:c r="B161" s="29" t="n">
        <x:v>425000</x:v>
      </x:c>
      <x:c r="C161" s="30" t="n">
        <x:v>428000</x:v>
      </x:c>
      <x:c r="D161" s="32" t="n">
        <x:v>17860</x:v>
      </x:c>
      <x:c r="E161" s="32" t="n">
        <x:v>14630</x:v>
      </x:c>
      <x:c r="F161" s="32" t="n">
        <x:v>11390</x:v>
      </x:c>
      <x:c r="G161" s="32" t="n">
        <x:v>8230</x:v>
      </x:c>
      <x:c r="H161" s="32" t="n">
        <x:v>6620</x:v>
      </x:c>
      <x:c r="I161" s="32" t="n">
        <x:v>4990</x:v>
      </x:c>
      <x:c r="J161" s="32" t="n">
        <x:v>3380</x:v>
      </x:c>
      <x:c r="K161" s="32" t="n">
        <x:v>1770</x:v>
      </x:c>
      <x:c r="L161" s="31" t="n">
        <x:v>104000</x:v>
      </x:c>
    </x:row>
    <x:row r="162" ht="13" hidden="0">
      <x:c r="A162" s="28" t="n">
        <x:v>128</x:v>
      </x:c>
      <x:c r="B162" s="29" t="n">
        <x:v>428000</x:v>
      </x:c>
      <x:c r="C162" s="30" t="n">
        <x:v>431000</x:v>
      </x:c>
      <x:c r="D162" s="32" t="n">
        <x:v>18100</x:v>
      </x:c>
      <x:c r="E162" s="32" t="n">
        <x:v>14880</x:v>
      </x:c>
      <x:c r="F162" s="32" t="n">
        <x:v>11640</x:v>
      </x:c>
      <x:c r="G162" s="32" t="n">
        <x:v>8400</x:v>
      </x:c>
      <x:c r="H162" s="32" t="n">
        <x:v>6740</x:v>
      </x:c>
      <x:c r="I162" s="32" t="n">
        <x:v>5120</x:v>
      </x:c>
      <x:c r="J162" s="32" t="n">
        <x:v>3500</x:v>
      </x:c>
      <x:c r="K162" s="32" t="n">
        <x:v>1890</x:v>
      </x:c>
      <x:c r="L162" s="31" t="n">
        <x:v>105800</x:v>
      </x:c>
    </x:row>
    <x:row r="163" ht="13" hidden="0">
      <x:c r="A163" s="28" t="n">
        <x:v>129</x:v>
      </x:c>
      <x:c r="B163" s="29" t="n">
        <x:v>431000</x:v>
      </x:c>
      <x:c r="C163" s="30" t="n">
        <x:v>434000</x:v>
      </x:c>
      <x:c r="D163" s="32" t="n">
        <x:v>18350</x:v>
      </x:c>
      <x:c r="E163" s="32" t="n">
        <x:v>15120</x:v>
      </x:c>
      <x:c r="F163" s="32" t="n">
        <x:v>11880</x:v>
      </x:c>
      <x:c r="G163" s="32" t="n">
        <x:v>8650</x:v>
      </x:c>
      <x:c r="H163" s="32" t="n">
        <x:v>6860</x:v>
      </x:c>
      <x:c r="I163" s="32" t="n">
        <x:v>5240</x:v>
      </x:c>
      <x:c r="J163" s="32" t="n">
        <x:v>3620</x:v>
      </x:c>
      <x:c r="K163" s="32" t="n">
        <x:v>2010</x:v>
      </x:c>
      <x:c r="L163" s="31" t="n">
        <x:v>107500</x:v>
      </x:c>
    </x:row>
    <x:row r="164" ht="13" hidden="0">
      <x:c r="A164" s="28" t="n">
        <x:v>130</x:v>
      </x:c>
      <x:c r="B164" s="29" t="n">
        <x:v>434000</x:v>
      </x:c>
      <x:c r="C164" s="30" t="n">
        <x:v>437000</x:v>
      </x:c>
      <x:c r="D164" s="32" t="n">
        <x:v>18590</x:v>
      </x:c>
      <x:c r="E164" s="32" t="n">
        <x:v>15370</x:v>
      </x:c>
      <x:c r="F164" s="32" t="n">
        <x:v>12130</x:v>
      </x:c>
      <x:c r="G164" s="32" t="n">
        <x:v>8890</x:v>
      </x:c>
      <x:c r="H164" s="32" t="n">
        <x:v>6980</x:v>
      </x:c>
      <x:c r="I164" s="32" t="n">
        <x:v>5360</x:v>
      </x:c>
      <x:c r="J164" s="32" t="n">
        <x:v>3750</x:v>
      </x:c>
      <x:c r="K164" s="32" t="n">
        <x:v>2130</x:v>
      </x:c>
      <x:c r="L164" s="31" t="n">
        <x:v>109100</x:v>
      </x:c>
    </x:row>
    <x:row r="165" ht="13" hidden="0">
      <x:c r="A165" s="28"/>
      <x:c r="B165" s="29"/>
      <x:c r="C165" s="30"/>
      <x:c r="D165" s="32"/>
      <x:c r="E165" s="32"/>
      <x:c r="F165" s="32"/>
      <x:c r="G165" s="32"/>
      <x:c r="H165" s="32"/>
      <x:c r="I165" s="32"/>
      <x:c r="J165" s="32"/>
      <x:c r="K165" s="32"/>
      <x:c r="L165" s="31"/>
    </x:row>
    <x:row r="166" ht="13" hidden="0">
      <x:c r="A166" s="28" t="n">
        <x:v>131</x:v>
      </x:c>
      <x:c r="B166" s="29" t="n">
        <x:v>437000</x:v>
      </x:c>
      <x:c r="C166" s="30" t="n">
        <x:v>440000</x:v>
      </x:c>
      <x:c r="D166" s="32" t="n">
        <x:v>18840</x:v>
      </x:c>
      <x:c r="E166" s="32" t="n">
        <x:v>15610</x:v>
      </x:c>
      <x:c r="F166" s="32" t="n">
        <x:v>12370</x:v>
      </x:c>
      <x:c r="G166" s="32" t="n">
        <x:v>9140</x:v>
      </x:c>
      <x:c r="H166" s="32" t="n">
        <x:v>7110</x:v>
      </x:c>
      <x:c r="I166" s="32" t="n">
        <x:v>5480</x:v>
      </x:c>
      <x:c r="J166" s="32" t="n">
        <x:v>3870</x:v>
      </x:c>
      <x:c r="K166" s="32" t="n">
        <x:v>2260</x:v>
      </x:c>
      <x:c r="L166" s="31" t="n">
        <x:v>110900</x:v>
      </x:c>
    </x:row>
    <x:row r="167" ht="13" hidden="0">
      <x:c r="A167" s="28" t="n">
        <x:v>132</x:v>
      </x:c>
      <x:c r="B167" s="29" t="n">
        <x:v>440000</x:v>
      </x:c>
      <x:c r="C167" s="30" t="n">
        <x:v>443000</x:v>
      </x:c>
      <x:c r="D167" s="32" t="n">
        <x:v>19080</x:v>
      </x:c>
      <x:c r="E167" s="32" t="n">
        <x:v>15860</x:v>
      </x:c>
      <x:c r="F167" s="32" t="n">
        <x:v>12620</x:v>
      </x:c>
      <x:c r="G167" s="32" t="n">
        <x:v>9380</x:v>
      </x:c>
      <x:c r="H167" s="32" t="n">
        <x:v>7230</x:v>
      </x:c>
      <x:c r="I167" s="32" t="n">
        <x:v>5610</x:v>
      </x:c>
      <x:c r="J167" s="32" t="n">
        <x:v>3990</x:v>
      </x:c>
      <x:c r="K167" s="32" t="n">
        <x:v>2380</x:v>
      </x:c>
      <x:c r="L167" s="31" t="n">
        <x:v>112600</x:v>
      </x:c>
    </x:row>
    <x:row r="168" ht="13" hidden="0">
      <x:c r="A168" s="28" t="n">
        <x:v>133</x:v>
      </x:c>
      <x:c r="B168" s="29" t="n">
        <x:v>443000</x:v>
      </x:c>
      <x:c r="C168" s="30" t="n">
        <x:v>446000</x:v>
      </x:c>
      <x:c r="D168" s="32" t="n">
        <x:v>19330</x:v>
      </x:c>
      <x:c r="E168" s="32" t="n">
        <x:v>16100</x:v>
      </x:c>
      <x:c r="F168" s="32" t="n">
        <x:v>12860</x:v>
      </x:c>
      <x:c r="G168" s="32" t="n">
        <x:v>9630</x:v>
      </x:c>
      <x:c r="H168" s="32" t="n">
        <x:v>7350</x:v>
      </x:c>
      <x:c r="I168" s="32" t="n">
        <x:v>5730</x:v>
      </x:c>
      <x:c r="J168" s="32" t="n">
        <x:v>4110</x:v>
      </x:c>
      <x:c r="K168" s="32" t="n">
        <x:v>2500</x:v>
      </x:c>
      <x:c r="L168" s="31" t="n">
        <x:v>114200</x:v>
      </x:c>
    </x:row>
    <x:row r="169" ht="13" hidden="0">
      <x:c r="A169" s="28" t="n">
        <x:v>134</x:v>
      </x:c>
      <x:c r="B169" s="29" t="n">
        <x:v>446000</x:v>
      </x:c>
      <x:c r="C169" s="30" t="n">
        <x:v>449000</x:v>
      </x:c>
      <x:c r="D169" s="32" t="n">
        <x:v>19570</x:v>
      </x:c>
      <x:c r="E169" s="32" t="n">
        <x:v>16350</x:v>
      </x:c>
      <x:c r="F169" s="32" t="n">
        <x:v>13110</x:v>
      </x:c>
      <x:c r="G169" s="32" t="n">
        <x:v>9870</x:v>
      </x:c>
      <x:c r="H169" s="32" t="n">
        <x:v>7470</x:v>
      </x:c>
      <x:c r="I169" s="32" t="n">
        <x:v>5850</x:v>
      </x:c>
      <x:c r="J169" s="32" t="n">
        <x:v>4240</x:v>
      </x:c>
      <x:c r="K169" s="32" t="n">
        <x:v>2620</x:v>
      </x:c>
      <x:c r="L169" s="31" t="n">
        <x:v>116000</x:v>
      </x:c>
    </x:row>
    <x:row r="170" ht="13" hidden="0">
      <x:c r="A170" s="28" t="n">
        <x:v>135</x:v>
      </x:c>
      <x:c r="B170" s="29" t="n">
        <x:v>449000</x:v>
      </x:c>
      <x:c r="C170" s="30" t="n">
        <x:v>452000</x:v>
      </x:c>
      <x:c r="D170" s="32" t="n">
        <x:v>19860</x:v>
      </x:c>
      <x:c r="E170" s="32" t="n">
        <x:v>16590</x:v>
      </x:c>
      <x:c r="F170" s="32" t="n">
        <x:v>13350</x:v>
      </x:c>
      <x:c r="G170" s="32" t="n">
        <x:v>10120</x:v>
      </x:c>
      <x:c r="H170" s="32" t="n">
        <x:v>7600</x:v>
      </x:c>
      <x:c r="I170" s="32" t="n">
        <x:v>5970</x:v>
      </x:c>
      <x:c r="J170" s="32" t="n">
        <x:v>4360</x:v>
      </x:c>
      <x:c r="K170" s="32" t="n">
        <x:v>2750</x:v>
      </x:c>
      <x:c r="L170" s="31" t="n">
        <x:v>117600</x:v>
      </x:c>
    </x:row>
    <x:row r="171" ht="13" hidden="0">
      <x:c r="A171" s="28"/>
      <x:c r="B171" s="29"/>
      <x:c r="C171" s="30"/>
      <x:c r="D171" s="32"/>
      <x:c r="E171" s="32"/>
      <x:c r="F171" s="32"/>
      <x:c r="G171" s="32"/>
      <x:c r="H171" s="32"/>
      <x:c r="I171" s="32"/>
      <x:c r="J171" s="32"/>
      <x:c r="K171" s="32"/>
      <x:c r="L171" s="31"/>
    </x:row>
    <x:row r="172" ht="13" hidden="0">
      <x:c r="A172" s="28" t="n">
        <x:v>136</x:v>
      </x:c>
      <x:c r="B172" s="29" t="n">
        <x:v>452000</x:v>
      </x:c>
      <x:c r="C172" s="30" t="n">
        <x:v>455000</x:v>
      </x:c>
      <x:c r="D172" s="32" t="n">
        <x:v>20350</x:v>
      </x:c>
      <x:c r="E172" s="32" t="n">
        <x:v>16840</x:v>
      </x:c>
      <x:c r="F172" s="32" t="n">
        <x:v>13600</x:v>
      </x:c>
      <x:c r="G172" s="32" t="n">
        <x:v>10360</x:v>
      </x:c>
      <x:c r="H172" s="32" t="n">
        <x:v>7720</x:v>
      </x:c>
      <x:c r="I172" s="32" t="n">
        <x:v>6100</x:v>
      </x:c>
      <x:c r="J172" s="32" t="n">
        <x:v>4480</x:v>
      </x:c>
      <x:c r="K172" s="32" t="n">
        <x:v>2870</x:v>
      </x:c>
      <x:c r="L172" s="31" t="n">
        <x:v>119400</x:v>
      </x:c>
    </x:row>
    <x:row r="173" ht="13" hidden="0">
      <x:c r="A173" s="28" t="n">
        <x:v>137</x:v>
      </x:c>
      <x:c r="B173" s="29" t="n">
        <x:v>455000</x:v>
      </x:c>
      <x:c r="C173" s="30" t="n">
        <x:v>458000</x:v>
      </x:c>
      <x:c r="D173" s="32" t="n">
        <x:v>20840</x:v>
      </x:c>
      <x:c r="E173" s="32" t="n">
        <x:v>17080</x:v>
      </x:c>
      <x:c r="F173" s="32" t="n">
        <x:v>13840</x:v>
      </x:c>
      <x:c r="G173" s="32" t="n">
        <x:v>10610</x:v>
      </x:c>
      <x:c r="H173" s="32" t="n">
        <x:v>7840</x:v>
      </x:c>
      <x:c r="I173" s="32" t="n">
        <x:v>6220</x:v>
      </x:c>
      <x:c r="J173" s="32" t="n">
        <x:v>4600</x:v>
      </x:c>
      <x:c r="K173" s="32" t="n">
        <x:v>2990</x:v>
      </x:c>
      <x:c r="L173" s="31" t="n">
        <x:v>121100</x:v>
      </x:c>
    </x:row>
    <x:row r="174" ht="13" hidden="0">
      <x:c r="A174" s="28" t="n">
        <x:v>138</x:v>
      </x:c>
      <x:c r="B174" s="29" t="n">
        <x:v>458000</x:v>
      </x:c>
      <x:c r="C174" s="30" t="n">
        <x:v>461000</x:v>
      </x:c>
      <x:c r="D174" s="32" t="n">
        <x:v>21330</x:v>
      </x:c>
      <x:c r="E174" s="32" t="n">
        <x:v>17330</x:v>
      </x:c>
      <x:c r="F174" s="32" t="n">
        <x:v>14090</x:v>
      </x:c>
      <x:c r="G174" s="32" t="n">
        <x:v>10850</x:v>
      </x:c>
      <x:c r="H174" s="32" t="n">
        <x:v>7960</x:v>
      </x:c>
      <x:c r="I174" s="32" t="n">
        <x:v>6340</x:v>
      </x:c>
      <x:c r="J174" s="32" t="n">
        <x:v>4730</x:v>
      </x:c>
      <x:c r="K174" s="32" t="n">
        <x:v>3110</x:v>
      </x:c>
      <x:c r="L174" s="31" t="n">
        <x:v>122700</x:v>
      </x:c>
    </x:row>
    <x:row r="175" ht="13" hidden="0">
      <x:c r="A175" s="28" t="n">
        <x:v>139</x:v>
      </x:c>
      <x:c r="B175" s="29" t="n">
        <x:v>461000</x:v>
      </x:c>
      <x:c r="C175" s="30" t="n">
        <x:v>464000</x:v>
      </x:c>
      <x:c r="D175" s="32" t="n">
        <x:v>21820</x:v>
      </x:c>
      <x:c r="E175" s="32" t="n">
        <x:v>17570</x:v>
      </x:c>
      <x:c r="F175" s="32" t="n">
        <x:v>14330</x:v>
      </x:c>
      <x:c r="G175" s="32" t="n">
        <x:v>11100</x:v>
      </x:c>
      <x:c r="H175" s="32" t="n">
        <x:v>8090</x:v>
      </x:c>
      <x:c r="I175" s="32" t="n">
        <x:v>6460</x:v>
      </x:c>
      <x:c r="J175" s="32" t="n">
        <x:v>4850</x:v>
      </x:c>
      <x:c r="K175" s="32" t="n">
        <x:v>3240</x:v>
      </x:c>
      <x:c r="L175" s="31" t="n">
        <x:v>124500</x:v>
      </x:c>
    </x:row>
    <x:row r="176" ht="13" hidden="0">
      <x:c r="A176" s="28" t="n">
        <x:v>140</x:v>
      </x:c>
      <x:c r="B176" s="29" t="n">
        <x:v>464000</x:v>
      </x:c>
      <x:c r="C176" s="30" t="n">
        <x:v>467000</x:v>
      </x:c>
      <x:c r="D176" s="32" t="n">
        <x:v>22310</x:v>
      </x:c>
      <x:c r="E176" s="32" t="n">
        <x:v>17820</x:v>
      </x:c>
      <x:c r="F176" s="32" t="n">
        <x:v>14580</x:v>
      </x:c>
      <x:c r="G176" s="32" t="n">
        <x:v>11340</x:v>
      </x:c>
      <x:c r="H176" s="32" t="n">
        <x:v>8210</x:v>
      </x:c>
      <x:c r="I176" s="32" t="n">
        <x:v>6590</x:v>
      </x:c>
      <x:c r="J176" s="32" t="n">
        <x:v>4970</x:v>
      </x:c>
      <x:c r="K176" s="32" t="n">
        <x:v>3360</x:v>
      </x:c>
      <x:c r="L176" s="31" t="n">
        <x:v>126200</x:v>
      </x:c>
    </x:row>
    <x:row r="177" ht="13" hidden="0">
      <x:c r="A177" s="28"/>
      <x:c r="B177" s="29"/>
      <x:c r="C177" s="30"/>
      <x:c r="D177" s="32"/>
      <x:c r="E177" s="32"/>
      <x:c r="F177" s="32"/>
      <x:c r="G177" s="32"/>
      <x:c r="H177" s="32"/>
      <x:c r="I177" s="32"/>
      <x:c r="J177" s="32"/>
      <x:c r="K177" s="32"/>
      <x:c r="L177" s="31"/>
    </x:row>
    <x:row r="178" ht="13" hidden="0">
      <x:c r="A178" s="28" t="n">
        <x:v>141</x:v>
      </x:c>
      <x:c r="B178" s="29" t="n">
        <x:v>467000</x:v>
      </x:c>
      <x:c r="C178" s="30" t="n">
        <x:v>470000</x:v>
      </x:c>
      <x:c r="D178" s="32" t="n">
        <x:v>22800</x:v>
      </x:c>
      <x:c r="E178" s="32" t="n">
        <x:v>18060</x:v>
      </x:c>
      <x:c r="F178" s="32" t="n">
        <x:v>14820</x:v>
      </x:c>
      <x:c r="G178" s="32" t="n">
        <x:v>11590</x:v>
      </x:c>
      <x:c r="H178" s="32" t="n">
        <x:v>8360</x:v>
      </x:c>
      <x:c r="I178" s="32" t="n">
        <x:v>6710</x:v>
      </x:c>
      <x:c r="J178" s="32" t="n">
        <x:v>5090</x:v>
      </x:c>
      <x:c r="K178" s="32" t="n">
        <x:v>3480</x:v>
      </x:c>
      <x:c r="L178" s="31" t="n">
        <x:v>127800</x:v>
      </x:c>
    </x:row>
    <x:row r="179" ht="13" hidden="0">
      <x:c r="A179" s="28" t="n">
        <x:v>142</x:v>
      </x:c>
      <x:c r="B179" s="29" t="n">
        <x:v>470000</x:v>
      </x:c>
      <x:c r="C179" s="30" t="n">
        <x:v>473000</x:v>
      </x:c>
      <x:c r="D179" s="32" t="n">
        <x:v>23290</x:v>
      </x:c>
      <x:c r="E179" s="32" t="n">
        <x:v>18310</x:v>
      </x:c>
      <x:c r="F179" s="32" t="n">
        <x:v>15070</x:v>
      </x:c>
      <x:c r="G179" s="32" t="n">
        <x:v>11830</x:v>
      </x:c>
      <x:c r="H179" s="32" t="n">
        <x:v>8610</x:v>
      </x:c>
      <x:c r="I179" s="32" t="n">
        <x:v>6830</x:v>
      </x:c>
      <x:c r="J179" s="32" t="n">
        <x:v>5220</x:v>
      </x:c>
      <x:c r="K179" s="32" t="n">
        <x:v>3600</x:v>
      </x:c>
      <x:c r="L179" s="31" t="n">
        <x:v>129600</x:v>
      </x:c>
    </x:row>
    <x:row r="180" ht="13" hidden="0">
      <x:c r="A180" s="28" t="n">
        <x:v>143</x:v>
      </x:c>
      <x:c r="B180" s="29" t="n">
        <x:v>473000</x:v>
      </x:c>
      <x:c r="C180" s="30" t="n">
        <x:v>476000</x:v>
      </x:c>
      <x:c r="D180" s="32" t="n">
        <x:v>23780</x:v>
      </x:c>
      <x:c r="E180" s="32" t="n">
        <x:v>18550</x:v>
      </x:c>
      <x:c r="F180" s="32" t="n">
        <x:v>15320</x:v>
      </x:c>
      <x:c r="G180" s="32" t="n">
        <x:v>12080</x:v>
      </x:c>
      <x:c r="H180" s="32" t="n">
        <x:v>8850</x:v>
      </x:c>
      <x:c r="I180" s="32" t="n">
        <x:v>6950</x:v>
      </x:c>
      <x:c r="J180" s="32" t="n">
        <x:v>5340</x:v>
      </x:c>
      <x:c r="K180" s="32" t="n">
        <x:v>3730</x:v>
      </x:c>
      <x:c r="L180" s="31" t="n">
        <x:v>131200</x:v>
      </x:c>
    </x:row>
    <x:row r="181" ht="13" hidden="0">
      <x:c r="A181" s="28" t="n">
        <x:v>144</x:v>
      </x:c>
      <x:c r="B181" s="29" t="n">
        <x:v>476000</x:v>
      </x:c>
      <x:c r="C181" s="30" t="n">
        <x:v>479000</x:v>
      </x:c>
      <x:c r="D181" s="32" t="n">
        <x:v>24270</x:v>
      </x:c>
      <x:c r="E181" s="32" t="n">
        <x:v>18800</x:v>
      </x:c>
      <x:c r="F181" s="32" t="n">
        <x:v>15560</x:v>
      </x:c>
      <x:c r="G181" s="32" t="n">
        <x:v>12320</x:v>
      </x:c>
      <x:c r="H181" s="32" t="n">
        <x:v>9100</x:v>
      </x:c>
      <x:c r="I181" s="32" t="n">
        <x:v>7080</x:v>
      </x:c>
      <x:c r="J181" s="32" t="n">
        <x:v>5460</x:v>
      </x:c>
      <x:c r="K181" s="32" t="n">
        <x:v>3850</x:v>
      </x:c>
      <x:c r="L181" s="31" t="n">
        <x:v>132800</x:v>
      </x:c>
    </x:row>
    <x:row r="182" ht="13" hidden="0">
      <x:c r="A182" s="28" t="n">
        <x:v>145</x:v>
      </x:c>
      <x:c r="B182" s="29" t="n">
        <x:v>479000</x:v>
      </x:c>
      <x:c r="C182" s="30" t="n">
        <x:v>482000</x:v>
      </x:c>
      <x:c r="D182" s="32" t="n">
        <x:v>24760</x:v>
      </x:c>
      <x:c r="E182" s="32" t="n">
        <x:v>19040</x:v>
      </x:c>
      <x:c r="F182" s="32" t="n">
        <x:v>15810</x:v>
      </x:c>
      <x:c r="G182" s="32" t="n">
        <x:v>12570</x:v>
      </x:c>
      <x:c r="H182" s="32" t="n">
        <x:v>9340</x:v>
      </x:c>
      <x:c r="I182" s="32" t="n">
        <x:v>7200</x:v>
      </x:c>
      <x:c r="J182" s="32" t="n">
        <x:v>5580</x:v>
      </x:c>
      <x:c r="K182" s="32" t="n">
        <x:v>3970</x:v>
      </x:c>
      <x:c r="L182" s="31" t="n">
        <x:v>134500</x:v>
      </x:c>
    </x:row>
    <x:row r="183" ht="13" hidden="0">
      <x:c r="A183" s="33"/>
      <x:c r="B183" s="34"/>
      <x:c r="C183" s="35"/>
      <x:c r="D183" s="36"/>
      <x:c r="E183" s="36"/>
      <x:c r="F183" s="36"/>
      <x:c r="G183" s="36"/>
      <x:c r="H183" s="36"/>
      <x:c r="I183" s="36"/>
      <x:c r="J183" s="36"/>
      <x:c r="K183" s="36"/>
      <x:c r="L183" s="37"/>
    </x:row>
    <x:row r="184" ht="13" hidden="0">
      <x:c r="A184" s="28" t="n">
        <x:v>146</x:v>
      </x:c>
      <x:c r="B184" s="29" t="n">
        <x:v>482000</x:v>
      </x:c>
      <x:c r="C184" s="30" t="n">
        <x:v>485000</x:v>
      </x:c>
      <x:c r="D184" s="32" t="n">
        <x:v>25250</x:v>
      </x:c>
      <x:c r="E184" s="32" t="n">
        <x:v>19290</x:v>
      </x:c>
      <x:c r="F184" s="32" t="n">
        <x:v>16050</x:v>
      </x:c>
      <x:c r="G184" s="32" t="n">
        <x:v>12810</x:v>
      </x:c>
      <x:c r="H184" s="32" t="n">
        <x:v>9590</x:v>
      </x:c>
      <x:c r="I184" s="32" t="n">
        <x:v>7320</x:v>
      </x:c>
      <x:c r="J184" s="32" t="n">
        <x:v>5710</x:v>
      </x:c>
      <x:c r="K184" s="32" t="n">
        <x:v>4090</x:v>
      </x:c>
      <x:c r="L184" s="31" t="n">
        <x:v>136100</x:v>
      </x:c>
    </x:row>
    <x:row r="185" ht="13" hidden="0">
      <x:c r="A185" s="28" t="n">
        <x:v>147</x:v>
      </x:c>
      <x:c r="B185" s="29" t="n">
        <x:v>485000</x:v>
      </x:c>
      <x:c r="C185" s="30" t="n">
        <x:v>488000</x:v>
      </x:c>
      <x:c r="D185" s="32" t="n">
        <x:v>25740</x:v>
      </x:c>
      <x:c r="E185" s="32" t="n">
        <x:v>19530</x:v>
      </x:c>
      <x:c r="F185" s="32" t="n">
        <x:v>16300</x:v>
      </x:c>
      <x:c r="G185" s="32" t="n">
        <x:v>13060</x:v>
      </x:c>
      <x:c r="H185" s="32" t="n">
        <x:v>9830</x:v>
      </x:c>
      <x:c r="I185" s="32" t="n">
        <x:v>7440</x:v>
      </x:c>
      <x:c r="J185" s="32" t="n">
        <x:v>5830</x:v>
      </x:c>
      <x:c r="K185" s="32" t="n">
        <x:v>4220</x:v>
      </x:c>
      <x:c r="L185" s="31" t="n">
        <x:v>137600</x:v>
      </x:c>
    </x:row>
    <x:row r="186" ht="13" hidden="0">
      <x:c r="A186" s="28" t="n">
        <x:v>148</x:v>
      </x:c>
      <x:c r="B186" s="29" t="n">
        <x:v>488000</x:v>
      </x:c>
      <x:c r="C186" s="30" t="n">
        <x:v>491000</x:v>
      </x:c>
      <x:c r="D186" s="32" t="n">
        <x:v>26230</x:v>
      </x:c>
      <x:c r="E186" s="32" t="n">
        <x:v>19780</x:v>
      </x:c>
      <x:c r="F186" s="32" t="n">
        <x:v>16540</x:v>
      </x:c>
      <x:c r="G186" s="32" t="n">
        <x:v>13300</x:v>
      </x:c>
      <x:c r="H186" s="32" t="n">
        <x:v>10080</x:v>
      </x:c>
      <x:c r="I186" s="32" t="n">
        <x:v>7570</x:v>
      </x:c>
      <x:c r="J186" s="32" t="n">
        <x:v>5950</x:v>
      </x:c>
      <x:c r="K186" s="32" t="n">
        <x:v>4340</x:v>
      </x:c>
      <x:c r="L186" s="31" t="n">
        <x:v>139300</x:v>
      </x:c>
    </x:row>
    <x:row r="187" ht="13" hidden="0">
      <x:c r="A187" s="28" t="n">
        <x:v>149</x:v>
      </x:c>
      <x:c r="B187" s="29" t="n">
        <x:v>491000</x:v>
      </x:c>
      <x:c r="C187" s="30" t="n">
        <x:v>494000</x:v>
      </x:c>
      <x:c r="D187" s="32" t="n">
        <x:v>26720</x:v>
      </x:c>
      <x:c r="E187" s="32" t="n">
        <x:v>20260</x:v>
      </x:c>
      <x:c r="F187" s="32" t="n">
        <x:v>16790</x:v>
      </x:c>
      <x:c r="G187" s="32" t="n">
        <x:v>13550</x:v>
      </x:c>
      <x:c r="H187" s="32" t="n">
        <x:v>10320</x:v>
      </x:c>
      <x:c r="I187" s="32" t="n">
        <x:v>7690</x:v>
      </x:c>
      <x:c r="J187" s="32" t="n">
        <x:v>6070</x:v>
      </x:c>
      <x:c r="K187" s="32" t="n">
        <x:v>4460</x:v>
      </x:c>
      <x:c r="L187" s="31" t="n">
        <x:v>140900</x:v>
      </x:c>
    </x:row>
    <x:row r="188" ht="13" hidden="0">
      <x:c r="A188" s="28" t="n">
        <x:v>150</x:v>
      </x:c>
      <x:c r="B188" s="29" t="n">
        <x:v>494000</x:v>
      </x:c>
      <x:c r="C188" s="30" t="n">
        <x:v>497000</x:v>
      </x:c>
      <x:c r="D188" s="32" t="n">
        <x:v>27210</x:v>
      </x:c>
      <x:c r="E188" s="32" t="n">
        <x:v>20750</x:v>
      </x:c>
      <x:c r="F188" s="32" t="n">
        <x:v>17030</x:v>
      </x:c>
      <x:c r="G188" s="32" t="n">
        <x:v>13790</x:v>
      </x:c>
      <x:c r="H188" s="32" t="n">
        <x:v>10570</x:v>
      </x:c>
      <x:c r="I188" s="32" t="n">
        <x:v>7810</x:v>
      </x:c>
      <x:c r="J188" s="32" t="n">
        <x:v>6200</x:v>
      </x:c>
      <x:c r="K188" s="32" t="n">
        <x:v>4580</x:v>
      </x:c>
      <x:c r="L188" s="31" t="n">
        <x:v>142500</x:v>
      </x:c>
    </x:row>
    <x:row r="189" ht="13" hidden="0">
      <x:c r="A189" s="28"/>
      <x:c r="B189" s="29"/>
      <x:c r="C189" s="30"/>
      <x:c r="D189" s="32"/>
      <x:c r="E189" s="32"/>
      <x:c r="F189" s="32"/>
      <x:c r="G189" s="32"/>
      <x:c r="H189" s="32"/>
      <x:c r="I189" s="32"/>
      <x:c r="J189" s="32"/>
      <x:c r="K189" s="32"/>
      <x:c r="L189" s="31"/>
    </x:row>
    <x:row r="190" ht="13" hidden="0">
      <x:c r="A190" s="28" t="n">
        <x:v>151</x:v>
      </x:c>
      <x:c r="B190" s="29" t="n">
        <x:v>497000</x:v>
      </x:c>
      <x:c r="C190" s="30" t="n">
        <x:v>500000</x:v>
      </x:c>
      <x:c r="D190" s="32" t="n">
        <x:v>27700</x:v>
      </x:c>
      <x:c r="E190" s="32" t="n">
        <x:v>21240</x:v>
      </x:c>
      <x:c r="F190" s="32" t="n">
        <x:v>17280</x:v>
      </x:c>
      <x:c r="G190" s="32" t="n">
        <x:v>14040</x:v>
      </x:c>
      <x:c r="H190" s="32" t="n">
        <x:v>10810</x:v>
      </x:c>
      <x:c r="I190" s="32" t="n">
        <x:v>7930</x:v>
      </x:c>
      <x:c r="J190" s="32" t="n">
        <x:v>6320</x:v>
      </x:c>
      <x:c r="K190" s="32" t="n">
        <x:v>4710</x:v>
      </x:c>
      <x:c r="L190" s="31" t="n">
        <x:v>144100</x:v>
      </x:c>
    </x:row>
    <x:row r="191" ht="13" hidden="0">
      <x:c r="A191" s="28" t="n">
        <x:v>152</x:v>
      </x:c>
      <x:c r="B191" s="29" t="n">
        <x:v>500000</x:v>
      </x:c>
      <x:c r="C191" s="30" t="n">
        <x:v>503000</x:v>
      </x:c>
      <x:c r="D191" s="32" t="n">
        <x:v>28190</x:v>
      </x:c>
      <x:c r="E191" s="32" t="n">
        <x:v>21730</x:v>
      </x:c>
      <x:c r="F191" s="32" t="n">
        <x:v>17520</x:v>
      </x:c>
      <x:c r="G191" s="32" t="n">
        <x:v>14280</x:v>
      </x:c>
      <x:c r="H191" s="32" t="n">
        <x:v>11060</x:v>
      </x:c>
      <x:c r="I191" s="32" t="n">
        <x:v>8060</x:v>
      </x:c>
      <x:c r="J191" s="32" t="n">
        <x:v>6440</x:v>
      </x:c>
      <x:c r="K191" s="32" t="n">
        <x:v>4830</x:v>
      </x:c>
      <x:c r="L191" s="31" t="n">
        <x:v>145700</x:v>
      </x:c>
    </x:row>
    <x:row r="192" ht="13" hidden="0">
      <x:c r="A192" s="28" t="n">
        <x:v>153</x:v>
      </x:c>
      <x:c r="B192" s="29" t="n">
        <x:v>503000</x:v>
      </x:c>
      <x:c r="C192" s="30" t="n">
        <x:v>506000</x:v>
      </x:c>
      <x:c r="D192" s="32" t="n">
        <x:v>28680</x:v>
      </x:c>
      <x:c r="E192" s="32" t="n">
        <x:v>22220</x:v>
      </x:c>
      <x:c r="F192" s="32" t="n">
        <x:v>17770</x:v>
      </x:c>
      <x:c r="G192" s="32" t="n">
        <x:v>14530</x:v>
      </x:c>
      <x:c r="H192" s="32" t="n">
        <x:v>11300</x:v>
      </x:c>
      <x:c r="I192" s="32" t="n">
        <x:v>8180</x:v>
      </x:c>
      <x:c r="J192" s="32" t="n">
        <x:v>6570</x:v>
      </x:c>
      <x:c r="K192" s="32" t="n">
        <x:v>4950</x:v>
      </x:c>
      <x:c r="L192" s="31" t="n">
        <x:v>147300</x:v>
      </x:c>
    </x:row>
    <x:row r="193" ht="13" hidden="0">
      <x:c r="A193" s="28" t="n">
        <x:v>154</x:v>
      </x:c>
      <x:c r="B193" s="29" t="n">
        <x:v>506000</x:v>
      </x:c>
      <x:c r="C193" s="30" t="n">
        <x:v>509000</x:v>
      </x:c>
      <x:c r="D193" s="32" t="n">
        <x:v>29170</x:v>
      </x:c>
      <x:c r="E193" s="32" t="n">
        <x:v>22710</x:v>
      </x:c>
      <x:c r="F193" s="32" t="n">
        <x:v>18010</x:v>
      </x:c>
      <x:c r="G193" s="32" t="n">
        <x:v>14770</x:v>
      </x:c>
      <x:c r="H193" s="32" t="n">
        <x:v>11550</x:v>
      </x:c>
      <x:c r="I193" s="32" t="n">
        <x:v>8310</x:v>
      </x:c>
      <x:c r="J193" s="32" t="n">
        <x:v>6690</x:v>
      </x:c>
      <x:c r="K193" s="32" t="n">
        <x:v>5070</x:v>
      </x:c>
      <x:c r="L193" s="31" t="n">
        <x:v>149000</x:v>
      </x:c>
    </x:row>
    <x:row r="194" ht="13" hidden="0">
      <x:c r="A194" s="28" t="n">
        <x:v>155</x:v>
      </x:c>
      <x:c r="B194" s="29" t="n">
        <x:v>509000</x:v>
      </x:c>
      <x:c r="C194" s="30" t="n">
        <x:v>512000</x:v>
      </x:c>
      <x:c r="D194" s="32" t="n">
        <x:v>29660</x:v>
      </x:c>
      <x:c r="E194" s="32" t="n">
        <x:v>23200</x:v>
      </x:c>
      <x:c r="F194" s="32" t="n">
        <x:v>18260</x:v>
      </x:c>
      <x:c r="G194" s="32" t="n">
        <x:v>15020</x:v>
      </x:c>
      <x:c r="H194" s="32" t="n">
        <x:v>11790</x:v>
      </x:c>
      <x:c r="I194" s="32" t="n">
        <x:v>8560</x:v>
      </x:c>
      <x:c r="J194" s="32" t="n">
        <x:v>6810</x:v>
      </x:c>
      <x:c r="K194" s="32" t="n">
        <x:v>5200</x:v>
      </x:c>
      <x:c r="L194" s="31" t="n">
        <x:v>150500</x:v>
      </x:c>
    </x:row>
    <x:row r="195" ht="13" hidden="0">
      <x:c r="A195" s="28"/>
      <x:c r="B195" s="29"/>
      <x:c r="C195" s="30"/>
      <x:c r="D195" s="32"/>
      <x:c r="E195" s="32"/>
      <x:c r="F195" s="32"/>
      <x:c r="G195" s="32"/>
      <x:c r="H195" s="32"/>
      <x:c r="I195" s="32"/>
      <x:c r="J195" s="32"/>
      <x:c r="K195" s="32"/>
      <x:c r="L195" s="31"/>
    </x:row>
    <x:row r="196" ht="13" hidden="0">
      <x:c r="A196" s="28" t="n">
        <x:v>156</x:v>
      </x:c>
      <x:c r="B196" s="29" t="n">
        <x:v>512000</x:v>
      </x:c>
      <x:c r="C196" s="30" t="n">
        <x:v>515000</x:v>
      </x:c>
      <x:c r="D196" s="32" t="n">
        <x:v>30150</x:v>
      </x:c>
      <x:c r="E196" s="32" t="n">
        <x:v>23690</x:v>
      </x:c>
      <x:c r="F196" s="32" t="n">
        <x:v>18500</x:v>
      </x:c>
      <x:c r="G196" s="32" t="n">
        <x:v>15260</x:v>
      </x:c>
      <x:c r="H196" s="32" t="n">
        <x:v>12040</x:v>
      </x:c>
      <x:c r="I196" s="32" t="n">
        <x:v>8800</x:v>
      </x:c>
      <x:c r="J196" s="32" t="n">
        <x:v>6930</x:v>
      </x:c>
      <x:c r="K196" s="32" t="n">
        <x:v>5320</x:v>
      </x:c>
      <x:c r="L196" s="31" t="n">
        <x:v>152100</x:v>
      </x:c>
    </x:row>
    <x:row r="197" ht="13" hidden="0">
      <x:c r="A197" s="28" t="n">
        <x:v>157</x:v>
      </x:c>
      <x:c r="B197" s="29" t="n">
        <x:v>515000</x:v>
      </x:c>
      <x:c r="C197" s="30" t="n">
        <x:v>518000</x:v>
      </x:c>
      <x:c r="D197" s="32" t="n">
        <x:v>30640</x:v>
      </x:c>
      <x:c r="E197" s="32" t="n">
        <x:v>24180</x:v>
      </x:c>
      <x:c r="F197" s="32" t="n">
        <x:v>18750</x:v>
      </x:c>
      <x:c r="G197" s="32" t="n">
        <x:v>15510</x:v>
      </x:c>
      <x:c r="H197" s="32" t="n">
        <x:v>12280</x:v>
      </x:c>
      <x:c r="I197" s="32" t="n">
        <x:v>9050</x:v>
      </x:c>
      <x:c r="J197" s="32" t="n">
        <x:v>7060</x:v>
      </x:c>
      <x:c r="K197" s="32" t="n">
        <x:v>5440</x:v>
      </x:c>
      <x:c r="L197" s="31" t="n">
        <x:v>153800</x:v>
      </x:c>
    </x:row>
    <x:row r="198" ht="13" hidden="0">
      <x:c r="A198" s="28" t="n">
        <x:v>158</x:v>
      </x:c>
      <x:c r="B198" s="29" t="n">
        <x:v>518000</x:v>
      </x:c>
      <x:c r="C198" s="30" t="n">
        <x:v>521000</x:v>
      </x:c>
      <x:c r="D198" s="32" t="n">
        <x:v>31130</x:v>
      </x:c>
      <x:c r="E198" s="32" t="n">
        <x:v>24670</x:v>
      </x:c>
      <x:c r="F198" s="32" t="n">
        <x:v>18990</x:v>
      </x:c>
      <x:c r="G198" s="32" t="n">
        <x:v>15750</x:v>
      </x:c>
      <x:c r="H198" s="32" t="n">
        <x:v>12530</x:v>
      </x:c>
      <x:c r="I198" s="32" t="n">
        <x:v>9290</x:v>
      </x:c>
      <x:c r="J198" s="32" t="n">
        <x:v>7180</x:v>
      </x:c>
      <x:c r="K198" s="32" t="n">
        <x:v>5560</x:v>
      </x:c>
      <x:c r="L198" s="31" t="n">
        <x:v>155400</x:v>
      </x:c>
    </x:row>
    <x:row r="199" ht="13" hidden="0">
      <x:c r="A199" s="28" t="n">
        <x:v>159</x:v>
      </x:c>
      <x:c r="B199" s="29" t="n">
        <x:v>521000</x:v>
      </x:c>
      <x:c r="C199" s="30" t="n">
        <x:v>524000</x:v>
      </x:c>
      <x:c r="D199" s="32" t="n">
        <x:v>31620</x:v>
      </x:c>
      <x:c r="E199" s="32" t="n">
        <x:v>25160</x:v>
      </x:c>
      <x:c r="F199" s="32" t="n">
        <x:v>19240</x:v>
      </x:c>
      <x:c r="G199" s="32" t="n">
        <x:v>16000</x:v>
      </x:c>
      <x:c r="H199" s="32" t="n">
        <x:v>12770</x:v>
      </x:c>
      <x:c r="I199" s="32" t="n">
        <x:v>9540</x:v>
      </x:c>
      <x:c r="J199" s="32" t="n">
        <x:v>7300</x:v>
      </x:c>
      <x:c r="K199" s="32" t="n">
        <x:v>5690</x:v>
      </x:c>
      <x:c r="L199" s="31" t="n">
        <x:v>156900</x:v>
      </x:c>
    </x:row>
    <x:row r="200" ht="13" hidden="0">
      <x:c r="A200" s="28" t="n">
        <x:v>160</x:v>
      </x:c>
      <x:c r="B200" s="29" t="n">
        <x:v>524000</x:v>
      </x:c>
      <x:c r="C200" s="30" t="n">
        <x:v>527000</x:v>
      </x:c>
      <x:c r="D200" s="32" t="n">
        <x:v>32110</x:v>
      </x:c>
      <x:c r="E200" s="32" t="n">
        <x:v>25650</x:v>
      </x:c>
      <x:c r="F200" s="32" t="n">
        <x:v>19480</x:v>
      </x:c>
      <x:c r="G200" s="32" t="n">
        <x:v>16240</x:v>
      </x:c>
      <x:c r="H200" s="32" t="n">
        <x:v>13020</x:v>
      </x:c>
      <x:c r="I200" s="32" t="n">
        <x:v>9780</x:v>
      </x:c>
      <x:c r="J200" s="32" t="n">
        <x:v>7420</x:v>
      </x:c>
      <x:c r="K200" s="32" t="n">
        <x:v>5810</x:v>
      </x:c>
      <x:c r="L200" s="31" t="n">
        <x:v>158600</x:v>
      </x:c>
    </x:row>
    <x:row r="201" ht="13" hidden="0">
      <x:c r="A201" s="28"/>
      <x:c r="B201" s="29"/>
      <x:c r="C201" s="30"/>
      <x:c r="D201" s="32"/>
      <x:c r="E201" s="32"/>
      <x:c r="F201" s="32"/>
      <x:c r="G201" s="32"/>
      <x:c r="H201" s="32"/>
      <x:c r="I201" s="32"/>
      <x:c r="J201" s="32"/>
      <x:c r="K201" s="32"/>
      <x:c r="L201" s="31"/>
    </x:row>
    <x:row r="202" ht="13" hidden="0">
      <x:c r="A202" s="28" t="n">
        <x:v>161</x:v>
      </x:c>
      <x:c r="B202" s="29" t="n">
        <x:v>527000</x:v>
      </x:c>
      <x:c r="C202" s="30" t="n">
        <x:v>530000</x:v>
      </x:c>
      <x:c r="D202" s="32" t="n">
        <x:v>32600</x:v>
      </x:c>
      <x:c r="E202" s="32" t="n">
        <x:v>26140</x:v>
      </x:c>
      <x:c r="F202" s="32" t="n">
        <x:v>19730</x:v>
      </x:c>
      <x:c r="G202" s="32" t="n">
        <x:v>16490</x:v>
      </x:c>
      <x:c r="H202" s="32" t="n">
        <x:v>13260</x:v>
      </x:c>
      <x:c r="I202" s="32" t="n">
        <x:v>10030</x:v>
      </x:c>
      <x:c r="J202" s="32" t="n">
        <x:v>7550</x:v>
      </x:c>
      <x:c r="K202" s="32" t="n">
        <x:v>5930</x:v>
      </x:c>
      <x:c r="L202" s="31" t="n">
        <x:v>160200</x:v>
      </x:c>
    </x:row>
    <x:row r="203" ht="13" hidden="0">
      <x:c r="A203" s="28" t="n">
        <x:v>162</x:v>
      </x:c>
      <x:c r="B203" s="29" t="n">
        <x:v>530000</x:v>
      </x:c>
      <x:c r="C203" s="30" t="n">
        <x:v>533000</x:v>
      </x:c>
      <x:c r="D203" s="32" t="n">
        <x:v>33090</x:v>
      </x:c>
      <x:c r="E203" s="32" t="n">
        <x:v>26630</x:v>
      </x:c>
      <x:c r="F203" s="32" t="n">
        <x:v>20160</x:v>
      </x:c>
      <x:c r="G203" s="32" t="n">
        <x:v>16730</x:v>
      </x:c>
      <x:c r="H203" s="32" t="n">
        <x:v>13510</x:v>
      </x:c>
      <x:c r="I203" s="32" t="n">
        <x:v>10270</x:v>
      </x:c>
      <x:c r="J203" s="32" t="n">
        <x:v>7670</x:v>
      </x:c>
      <x:c r="K203" s="32" t="n">
        <x:v>6050</x:v>
      </x:c>
      <x:c r="L203" s="31" t="n">
        <x:v>161600</x:v>
      </x:c>
    </x:row>
    <x:row r="204" ht="13" hidden="0">
      <x:c r="A204" s="28" t="n">
        <x:v>163</x:v>
      </x:c>
      <x:c r="B204" s="29" t="n">
        <x:v>533000</x:v>
      </x:c>
      <x:c r="C204" s="30" t="n">
        <x:v>536000</x:v>
      </x:c>
      <x:c r="D204" s="32" t="n">
        <x:v>33580</x:v>
      </x:c>
      <x:c r="E204" s="32" t="n">
        <x:v>27120</x:v>
      </x:c>
      <x:c r="F204" s="32" t="n">
        <x:v>20650</x:v>
      </x:c>
      <x:c r="G204" s="32" t="n">
        <x:v>16980</x:v>
      </x:c>
      <x:c r="H204" s="32" t="n">
        <x:v>13750</x:v>
      </x:c>
      <x:c r="I204" s="32" t="n">
        <x:v>10520</x:v>
      </x:c>
      <x:c r="J204" s="32" t="n">
        <x:v>7790</x:v>
      </x:c>
      <x:c r="K204" s="32" t="n">
        <x:v>6180</x:v>
      </x:c>
      <x:c r="L204" s="31" t="n">
        <x:v>163200</x:v>
      </x:c>
    </x:row>
    <x:row r="205" ht="13" hidden="0">
      <x:c r="A205" s="28" t="n">
        <x:v>164</x:v>
      </x:c>
      <x:c r="B205" s="29" t="n">
        <x:v>536000</x:v>
      </x:c>
      <x:c r="C205" s="30" t="n">
        <x:v>539000</x:v>
      </x:c>
      <x:c r="D205" s="32" t="n">
        <x:v>34070</x:v>
      </x:c>
      <x:c r="E205" s="32" t="n">
        <x:v>27610</x:v>
      </x:c>
      <x:c r="F205" s="32" t="n">
        <x:v>21140</x:v>
      </x:c>
      <x:c r="G205" s="32" t="n">
        <x:v>17220</x:v>
      </x:c>
      <x:c r="H205" s="32" t="n">
        <x:v>14000</x:v>
      </x:c>
      <x:c r="I205" s="32" t="n">
        <x:v>10760</x:v>
      </x:c>
      <x:c r="J205" s="32" t="n">
        <x:v>7910</x:v>
      </x:c>
      <x:c r="K205" s="32" t="n">
        <x:v>6300</x:v>
      </x:c>
      <x:c r="L205" s="31" t="n">
        <x:v>164600</x:v>
      </x:c>
    </x:row>
    <x:row r="206" ht="13" hidden="0">
      <x:c r="A206" s="28" t="n">
        <x:v>165</x:v>
      </x:c>
      <x:c r="B206" s="29" t="n">
        <x:v>539000</x:v>
      </x:c>
      <x:c r="C206" s="30" t="n">
        <x:v>542000</x:v>
      </x:c>
      <x:c r="D206" s="32" t="n">
        <x:v>34560</x:v>
      </x:c>
      <x:c r="E206" s="32" t="n">
        <x:v>28100</x:v>
      </x:c>
      <x:c r="F206" s="32" t="n">
        <x:v>21630</x:v>
      </x:c>
      <x:c r="G206" s="32" t="n">
        <x:v>17470</x:v>
      </x:c>
      <x:c r="H206" s="32" t="n">
        <x:v>14240</x:v>
      </x:c>
      <x:c r="I206" s="32" t="n">
        <x:v>11010</x:v>
      </x:c>
      <x:c r="J206" s="32" t="n">
        <x:v>8040</x:v>
      </x:c>
      <x:c r="K206" s="32" t="n">
        <x:v>6420</x:v>
      </x:c>
      <x:c r="L206" s="31" t="n">
        <x:v>166000</x:v>
      </x:c>
    </x:row>
    <x:row r="207" ht="13" hidden="0">
      <x:c r="A207" s="28"/>
      <x:c r="B207" s="29"/>
      <x:c r="C207" s="30"/>
      <x:c r="D207" s="32"/>
      <x:c r="E207" s="32"/>
      <x:c r="F207" s="32"/>
      <x:c r="G207" s="32"/>
      <x:c r="H207" s="32"/>
      <x:c r="I207" s="32"/>
      <x:c r="J207" s="32"/>
      <x:c r="K207" s="32"/>
      <x:c r="L207" s="31"/>
    </x:row>
    <x:row r="208" ht="13" hidden="0">
      <x:c r="A208" s="28" t="n">
        <x:v>166</x:v>
      </x:c>
      <x:c r="B208" s="29" t="n">
        <x:v>542000</x:v>
      </x:c>
      <x:c r="C208" s="30" t="n">
        <x:v>545000</x:v>
      </x:c>
      <x:c r="D208" s="32" t="n">
        <x:v>35050</x:v>
      </x:c>
      <x:c r="E208" s="32" t="n">
        <x:v>28590</x:v>
      </x:c>
      <x:c r="F208" s="32" t="n">
        <x:v>22130</x:v>
      </x:c>
      <x:c r="G208" s="32" t="n">
        <x:v>17710</x:v>
      </x:c>
      <x:c r="H208" s="32" t="n">
        <x:v>14490</x:v>
      </x:c>
      <x:c r="I208" s="32" t="n">
        <x:v>11250</x:v>
      </x:c>
      <x:c r="J208" s="32" t="n">
        <x:v>8160</x:v>
      </x:c>
      <x:c r="K208" s="32" t="n">
        <x:v>6540</x:v>
      </x:c>
      <x:c r="L208" s="31" t="n">
        <x:v>167500</x:v>
      </x:c>
    </x:row>
    <x:row r="209" ht="13" hidden="0">
      <x:c r="A209" s="28" t="n">
        <x:v>167</x:v>
      </x:c>
      <x:c r="B209" s="29" t="n">
        <x:v>545000</x:v>
      </x:c>
      <x:c r="C209" s="30" t="n">
        <x:v>548000</x:v>
      </x:c>
      <x:c r="D209" s="32" t="n">
        <x:v>35540</x:v>
      </x:c>
      <x:c r="E209" s="32" t="n">
        <x:v>29080</x:v>
      </x:c>
      <x:c r="F209" s="32" t="n">
        <x:v>22620</x:v>
      </x:c>
      <x:c r="G209" s="32" t="n">
        <x:v>17960</x:v>
      </x:c>
      <x:c r="H209" s="32" t="n">
        <x:v>14730</x:v>
      </x:c>
      <x:c r="I209" s="32" t="n">
        <x:v>11500</x:v>
      </x:c>
      <x:c r="J209" s="32" t="n">
        <x:v>8280</x:v>
      </x:c>
      <x:c r="K209" s="32" t="n">
        <x:v>6670</x:v>
      </x:c>
      <x:c r="L209" s="31" t="n">
        <x:v>169000</x:v>
      </x:c>
    </x:row>
    <x:row r="210" ht="13" hidden="0">
      <x:c r="A210" s="28" t="n">
        <x:v>168</x:v>
      </x:c>
      <x:c r="B210" s="29" t="n">
        <x:v>548000</x:v>
      </x:c>
      <x:c r="C210" s="30" t="n">
        <x:v>551000</x:v>
      </x:c>
      <x:c r="D210" s="32" t="n">
        <x:v>36030</x:v>
      </x:c>
      <x:c r="E210" s="32" t="n">
        <x:v>29570</x:v>
      </x:c>
      <x:c r="F210" s="32" t="n">
        <x:v>23110</x:v>
      </x:c>
      <x:c r="G210" s="32" t="n">
        <x:v>18200</x:v>
      </x:c>
      <x:c r="H210" s="32" t="n">
        <x:v>14980</x:v>
      </x:c>
      <x:c r="I210" s="32" t="n">
        <x:v>11740</x:v>
      </x:c>
      <x:c r="J210" s="32" t="n">
        <x:v>8500</x:v>
      </x:c>
      <x:c r="K210" s="32" t="n">
        <x:v>6790</x:v>
      </x:c>
      <x:c r="L210" s="31" t="n">
        <x:v>170500</x:v>
      </x:c>
    </x:row>
    <x:row r="211" ht="13" hidden="0">
      <x:c r="A211" s="28" t="n">
        <x:v>169</x:v>
      </x:c>
      <x:c r="B211" s="29" t="n">
        <x:v>551000</x:v>
      </x:c>
      <x:c r="C211" s="30" t="n">
        <x:v>554000</x:v>
      </x:c>
      <x:c r="D211" s="32" t="n">
        <x:v>36570</x:v>
      </x:c>
      <x:c r="E211" s="32" t="n">
        <x:v>30110</x:v>
      </x:c>
      <x:c r="F211" s="32" t="n">
        <x:v>23650</x:v>
      </x:c>
      <x:c r="G211" s="32" t="n">
        <x:v>18480</x:v>
      </x:c>
      <x:c r="H211" s="32" t="n">
        <x:v>15240</x:v>
      </x:c>
      <x:c r="I211" s="32" t="n">
        <x:v>12020</x:v>
      </x:c>
      <x:c r="J211" s="32" t="n">
        <x:v>8780</x:v>
      </x:c>
      <x:c r="K211" s="32" t="n">
        <x:v>6920</x:v>
      </x:c>
      <x:c r="L211" s="31" t="n">
        <x:v>171900</x:v>
      </x:c>
    </x:row>
    <x:row r="212" ht="13" hidden="0">
      <x:c r="A212" s="28" t="n">
        <x:v>170</x:v>
      </x:c>
      <x:c r="B212" s="29" t="n">
        <x:v>554000</x:v>
      </x:c>
      <x:c r="C212" s="30" t="n">
        <x:v>557000</x:v>
      </x:c>
      <x:c r="D212" s="32" t="n">
        <x:v>37120</x:v>
      </x:c>
      <x:c r="E212" s="32" t="n">
        <x:v>30660</x:v>
      </x:c>
      <x:c r="F212" s="32" t="n">
        <x:v>24200</x:v>
      </x:c>
      <x:c r="G212" s="32" t="n">
        <x:v>18760</x:v>
      </x:c>
      <x:c r="H212" s="32" t="n">
        <x:v>15520</x:v>
      </x:c>
      <x:c r="I212" s="32" t="n">
        <x:v>12290</x:v>
      </x:c>
      <x:c r="J212" s="32" t="n">
        <x:v>9060</x:v>
      </x:c>
      <x:c r="K212" s="32" t="n">
        <x:v>7060</x:v>
      </x:c>
      <x:c r="L212" s="31" t="n">
        <x:v>173400</x:v>
      </x:c>
    </x:row>
    <x:row r="213" ht="13" hidden="0">
      <x:c r="A213" s="28"/>
      <x:c r="B213" s="29"/>
      <x:c r="C213" s="30"/>
      <x:c r="D213" s="32"/>
      <x:c r="E213" s="32"/>
      <x:c r="F213" s="32"/>
      <x:c r="G213" s="32"/>
      <x:c r="H213" s="32"/>
      <x:c r="I213" s="32"/>
      <x:c r="J213" s="32"/>
      <x:c r="K213" s="32"/>
      <x:c r="L213" s="31"/>
    </x:row>
    <x:row r="214" ht="13" hidden="0">
      <x:c r="A214" s="28" t="n">
        <x:v>171</x:v>
      </x:c>
      <x:c r="B214" s="29" t="n">
        <x:v>557000</x:v>
      </x:c>
      <x:c r="C214" s="30" t="n">
        <x:v>560000</x:v>
      </x:c>
      <x:c r="D214" s="32" t="n">
        <x:v>37670</x:v>
      </x:c>
      <x:c r="E214" s="32" t="n">
        <x:v>31210</x:v>
      </x:c>
      <x:c r="F214" s="32" t="n">
        <x:v>24750</x:v>
      </x:c>
      <x:c r="G214" s="32" t="n">
        <x:v>19030</x:v>
      </x:c>
      <x:c r="H214" s="32" t="n">
        <x:v>15790</x:v>
      </x:c>
      <x:c r="I214" s="32" t="n">
        <x:v>12570</x:v>
      </x:c>
      <x:c r="J214" s="32" t="n">
        <x:v>9330</x:v>
      </x:c>
      <x:c r="K214" s="32" t="n">
        <x:v>7200</x:v>
      </x:c>
      <x:c r="L214" s="31" t="n">
        <x:v>174900</x:v>
      </x:c>
    </x:row>
    <x:row r="215" ht="13" hidden="0">
      <x:c r="A215" s="28" t="n">
        <x:v>172</x:v>
      </x:c>
      <x:c r="B215" s="29" t="n">
        <x:v>560000</x:v>
      </x:c>
      <x:c r="C215" s="30" t="n">
        <x:v>563000</x:v>
      </x:c>
      <x:c r="D215" s="32" t="n">
        <x:v>38230</x:v>
      </x:c>
      <x:c r="E215" s="32" t="n">
        <x:v>31760</x:v>
      </x:c>
      <x:c r="F215" s="32" t="n">
        <x:v>25300</x:v>
      </x:c>
      <x:c r="G215" s="32" t="n">
        <x:v>19310</x:v>
      </x:c>
      <x:c r="H215" s="32" t="n">
        <x:v>16070</x:v>
      </x:c>
      <x:c r="I215" s="32" t="n">
        <x:v>12840</x:v>
      </x:c>
      <x:c r="J215" s="32" t="n">
        <x:v>9610</x:v>
      </x:c>
      <x:c r="K215" s="32" t="n">
        <x:v>7330</x:v>
      </x:c>
      <x:c r="L215" s="31" t="n">
        <x:v>176300</x:v>
      </x:c>
    </x:row>
    <x:row r="216" ht="13" hidden="0">
      <x:c r="A216" s="28" t="n">
        <x:v>173</x:v>
      </x:c>
      <x:c r="B216" s="29" t="n">
        <x:v>563000</x:v>
      </x:c>
      <x:c r="C216" s="30" t="n">
        <x:v>566000</x:v>
      </x:c>
      <x:c r="D216" s="32" t="n">
        <x:v>38780</x:v>
      </x:c>
      <x:c r="E216" s="32" t="n">
        <x:v>32310</x:v>
      </x:c>
      <x:c r="F216" s="32" t="n">
        <x:v>25850</x:v>
      </x:c>
      <x:c r="G216" s="32" t="n">
        <x:v>19580</x:v>
      </x:c>
      <x:c r="H216" s="32" t="n">
        <x:v>16350</x:v>
      </x:c>
      <x:c r="I216" s="32" t="n">
        <x:v>13120</x:v>
      </x:c>
      <x:c r="J216" s="32" t="n">
        <x:v>9880</x:v>
      </x:c>
      <x:c r="K216" s="32" t="n">
        <x:v>7470</x:v>
      </x:c>
      <x:c r="L216" s="31" t="n">
        <x:v>177900</x:v>
      </x:c>
    </x:row>
    <x:row r="217" ht="13" hidden="0">
      <x:c r="A217" s="28" t="n">
        <x:v>174</x:v>
      </x:c>
      <x:c r="B217" s="29" t="n">
        <x:v>566000</x:v>
      </x:c>
      <x:c r="C217" s="30" t="n">
        <x:v>569000</x:v>
      </x:c>
      <x:c r="D217" s="32" t="n">
        <x:v>39330</x:v>
      </x:c>
      <x:c r="E217" s="32" t="n">
        <x:v>32870</x:v>
      </x:c>
      <x:c r="F217" s="32" t="n">
        <x:v>26400</x:v>
      </x:c>
      <x:c r="G217" s="32" t="n">
        <x:v>19930</x:v>
      </x:c>
      <x:c r="H217" s="32" t="n">
        <x:v>16620</x:v>
      </x:c>
      <x:c r="I217" s="32" t="n">
        <x:v>13400</x:v>
      </x:c>
      <x:c r="J217" s="32" t="n">
        <x:v>10160</x:v>
      </x:c>
      <x:c r="K217" s="32" t="n">
        <x:v>7610</x:v>
      </x:c>
      <x:c r="L217" s="31" t="n">
        <x:v>179300</x:v>
      </x:c>
    </x:row>
    <x:row r="218" ht="13" hidden="0">
      <x:c r="A218" s="28" t="n">
        <x:v>175</x:v>
      </x:c>
      <x:c r="B218" s="29" t="n">
        <x:v>569000</x:v>
      </x:c>
      <x:c r="C218" s="30" t="n">
        <x:v>572000</x:v>
      </x:c>
      <x:c r="D218" s="32" t="n">
        <x:v>39880</x:v>
      </x:c>
      <x:c r="E218" s="32" t="n">
        <x:v>33420</x:v>
      </x:c>
      <x:c r="F218" s="32" t="n">
        <x:v>26950</x:v>
      </x:c>
      <x:c r="G218" s="32" t="n">
        <x:v>20480</x:v>
      </x:c>
      <x:c r="H218" s="32" t="n">
        <x:v>16900</x:v>
      </x:c>
      <x:c r="I218" s="32" t="n">
        <x:v>13670</x:v>
      </x:c>
      <x:c r="J218" s="32" t="n">
        <x:v>10430</x:v>
      </x:c>
      <x:c r="K218" s="32" t="n">
        <x:v>7750</x:v>
      </x:c>
      <x:c r="L218" s="31" t="n">
        <x:v>180700</x:v>
      </x:c>
    </x:row>
    <x:row r="219" ht="13" hidden="0">
      <x:c r="A219" s="28"/>
      <x:c r="B219" s="29"/>
      <x:c r="C219" s="30"/>
      <x:c r="D219" s="32"/>
      <x:c r="E219" s="32"/>
      <x:c r="F219" s="32"/>
      <x:c r="G219" s="32"/>
      <x:c r="H219" s="32"/>
      <x:c r="I219" s="32"/>
      <x:c r="J219" s="32"/>
      <x:c r="K219" s="32"/>
      <x:c r="L219" s="31"/>
    </x:row>
    <x:row r="220" ht="13" hidden="0">
      <x:c r="A220" s="28" t="n">
        <x:v>176</x:v>
      </x:c>
      <x:c r="B220" s="29" t="n">
        <x:v>572000</x:v>
      </x:c>
      <x:c r="C220" s="30" t="n">
        <x:v>575000</x:v>
      </x:c>
      <x:c r="D220" s="32" t="n">
        <x:v>40430</x:v>
      </x:c>
      <x:c r="E220" s="32" t="n">
        <x:v>33970</x:v>
      </x:c>
      <x:c r="F220" s="32" t="n">
        <x:v>27510</x:v>
      </x:c>
      <x:c r="G220" s="32" t="n">
        <x:v>21030</x:v>
      </x:c>
      <x:c r="H220" s="32" t="n">
        <x:v>17170</x:v>
      </x:c>
      <x:c r="I220" s="32" t="n">
        <x:v>13950</x:v>
      </x:c>
      <x:c r="J220" s="32" t="n">
        <x:v>10710</x:v>
      </x:c>
      <x:c r="K220" s="32" t="n">
        <x:v>7880</x:v>
      </x:c>
      <x:c r="L220" s="31" t="n">
        <x:v>182200</x:v>
      </x:c>
    </x:row>
    <x:row r="221" ht="13" hidden="0">
      <x:c r="A221" s="28" t="n">
        <x:v>177</x:v>
      </x:c>
      <x:c r="B221" s="29" t="n">
        <x:v>575000</x:v>
      </x:c>
      <x:c r="C221" s="30" t="n">
        <x:v>578000</x:v>
      </x:c>
      <x:c r="D221" s="32" t="n">
        <x:v>40980</x:v>
      </x:c>
      <x:c r="E221" s="32" t="n">
        <x:v>34520</x:v>
      </x:c>
      <x:c r="F221" s="32" t="n">
        <x:v>28060</x:v>
      </x:c>
      <x:c r="G221" s="32" t="n">
        <x:v>21580</x:v>
      </x:c>
      <x:c r="H221" s="32" t="n">
        <x:v>17450</x:v>
      </x:c>
      <x:c r="I221" s="32" t="n">
        <x:v>14220</x:v>
      </x:c>
      <x:c r="J221" s="32" t="n">
        <x:v>10990</x:v>
      </x:c>
      <x:c r="K221" s="32" t="n">
        <x:v>8030</x:v>
      </x:c>
      <x:c r="L221" s="31" t="n">
        <x:v>183700</x:v>
      </x:c>
    </x:row>
    <x:row r="222" ht="13" hidden="0">
      <x:c r="A222" s="28" t="n">
        <x:v>178</x:v>
      </x:c>
      <x:c r="B222" s="29" t="n">
        <x:v>578000</x:v>
      </x:c>
      <x:c r="C222" s="30" t="n">
        <x:v>581000</x:v>
      </x:c>
      <x:c r="D222" s="32" t="n">
        <x:v>41530</x:v>
      </x:c>
      <x:c r="E222" s="32" t="n">
        <x:v>35070</x:v>
      </x:c>
      <x:c r="F222" s="32" t="n">
        <x:v>28610</x:v>
      </x:c>
      <x:c r="G222" s="32" t="n">
        <x:v>22140</x:v>
      </x:c>
      <x:c r="H222" s="32" t="n">
        <x:v>17720</x:v>
      </x:c>
      <x:c r="I222" s="32" t="n">
        <x:v>14500</x:v>
      </x:c>
      <x:c r="J222" s="32" t="n">
        <x:v>11260</x:v>
      </x:c>
      <x:c r="K222" s="32" t="n">
        <x:v>8160</x:v>
      </x:c>
      <x:c r="L222" s="31" t="n">
        <x:v>185200</x:v>
      </x:c>
    </x:row>
    <x:row r="223" ht="13" hidden="0">
      <x:c r="A223" s="28" t="n">
        <x:v>179</x:v>
      </x:c>
      <x:c r="B223" s="29" t="n">
        <x:v>581000</x:v>
      </x:c>
      <x:c r="C223" s="30" t="n">
        <x:v>584000</x:v>
      </x:c>
      <x:c r="D223" s="32" t="n">
        <x:v>42090</x:v>
      </x:c>
      <x:c r="E223" s="32" t="n">
        <x:v>35620</x:v>
      </x:c>
      <x:c r="F223" s="32" t="n">
        <x:v>29160</x:v>
      </x:c>
      <x:c r="G223" s="32" t="n">
        <x:v>22690</x:v>
      </x:c>
      <x:c r="H223" s="32" t="n">
        <x:v>18000</x:v>
      </x:c>
      <x:c r="I223" s="32" t="n">
        <x:v>14770</x:v>
      </x:c>
      <x:c r="J223" s="32" t="n">
        <x:v>11540</x:v>
      </x:c>
      <x:c r="K223" s="32" t="n">
        <x:v>8300</x:v>
      </x:c>
      <x:c r="L223" s="31" t="n">
        <x:v>186600</x:v>
      </x:c>
    </x:row>
    <x:row r="224" ht="13" hidden="0">
      <x:c r="A224" s="28" t="n">
        <x:v>180</x:v>
      </x:c>
      <x:c r="B224" s="29" t="n">
        <x:v>584000</x:v>
      </x:c>
      <x:c r="C224" s="30" t="n">
        <x:v>587000</x:v>
      </x:c>
      <x:c r="D224" s="32" t="n">
        <x:v>42640</x:v>
      </x:c>
      <x:c r="E224" s="32" t="n">
        <x:v>36170</x:v>
      </x:c>
      <x:c r="F224" s="32" t="n">
        <x:v>29710</x:v>
      </x:c>
      <x:c r="G224" s="32" t="n">
        <x:v>23240</x:v>
      </x:c>
      <x:c r="H224" s="32" t="n">
        <x:v>18280</x:v>
      </x:c>
      <x:c r="I224" s="32" t="n">
        <x:v>15050</x:v>
      </x:c>
      <x:c r="J224" s="32" t="n">
        <x:v>11810</x:v>
      </x:c>
      <x:c r="K224" s="32" t="n">
        <x:v>8580</x:v>
      </x:c>
      <x:c r="L224" s="31" t="n">
        <x:v>188100</x:v>
      </x:c>
    </x:row>
    <x:row r="225" ht="13" hidden="0">
      <x:c r="A225" s="28"/>
      <x:c r="B225" s="29"/>
      <x:c r="C225" s="30"/>
      <x:c r="D225" s="32"/>
      <x:c r="E225" s="32"/>
      <x:c r="F225" s="32"/>
      <x:c r="G225" s="32"/>
      <x:c r="H225" s="32"/>
      <x:c r="I225" s="32"/>
      <x:c r="J225" s="32"/>
      <x:c r="K225" s="32"/>
      <x:c r="L225" s="31"/>
    </x:row>
    <x:row r="226" ht="13" hidden="0">
      <x:c r="A226" s="28" t="n">
        <x:v>181</x:v>
      </x:c>
      <x:c r="B226" s="29" t="n">
        <x:v>587000</x:v>
      </x:c>
      <x:c r="C226" s="30" t="n">
        <x:v>590000</x:v>
      </x:c>
      <x:c r="D226" s="32" t="n">
        <x:v>43190</x:v>
      </x:c>
      <x:c r="E226" s="32" t="n">
        <x:v>36730</x:v>
      </x:c>
      <x:c r="F226" s="32" t="n">
        <x:v>30260</x:v>
      </x:c>
      <x:c r="G226" s="32" t="n">
        <x:v>23790</x:v>
      </x:c>
      <x:c r="H226" s="32" t="n">
        <x:v>18550</x:v>
      </x:c>
      <x:c r="I226" s="32" t="n">
        <x:v>15330</x:v>
      </x:c>
      <x:c r="J226" s="32" t="n">
        <x:v>12090</x:v>
      </x:c>
      <x:c r="K226" s="32" t="n">
        <x:v>8850</x:v>
      </x:c>
      <x:c r="L226" s="31" t="n">
        <x:v>189600</x:v>
      </x:c>
    </x:row>
    <x:row r="227" ht="13" hidden="0">
      <x:c r="A227" s="28" t="n">
        <x:v>182</x:v>
      </x:c>
      <x:c r="B227" s="29" t="n">
        <x:v>590000</x:v>
      </x:c>
      <x:c r="C227" s="30" t="n">
        <x:v>593000</x:v>
      </x:c>
      <x:c r="D227" s="32" t="n">
        <x:v>43740</x:v>
      </x:c>
      <x:c r="E227" s="32" t="n">
        <x:v>37280</x:v>
      </x:c>
      <x:c r="F227" s="32" t="n">
        <x:v>30810</x:v>
      </x:c>
      <x:c r="G227" s="32" t="n">
        <x:v>24340</x:v>
      </x:c>
      <x:c r="H227" s="32" t="n">
        <x:v>18830</x:v>
      </x:c>
      <x:c r="I227" s="32" t="n">
        <x:v>15600</x:v>
      </x:c>
      <x:c r="J227" s="32" t="n">
        <x:v>12360</x:v>
      </x:c>
      <x:c r="K227" s="32" t="n">
        <x:v>9130</x:v>
      </x:c>
      <x:c r="L227" s="31" t="n">
        <x:v>191000</x:v>
      </x:c>
    </x:row>
    <x:row r="228" ht="13" hidden="0">
      <x:c r="A228" s="28" t="n">
        <x:v>183</x:v>
      </x:c>
      <x:c r="B228" s="29" t="n">
        <x:v>593000</x:v>
      </x:c>
      <x:c r="C228" s="30" t="n">
        <x:v>596000</x:v>
      </x:c>
      <x:c r="D228" s="32" t="n">
        <x:v>44290</x:v>
      </x:c>
      <x:c r="E228" s="32" t="n">
        <x:v>37830</x:v>
      </x:c>
      <x:c r="F228" s="32" t="n">
        <x:v>31370</x:v>
      </x:c>
      <x:c r="G228" s="32" t="n">
        <x:v>24890</x:v>
      </x:c>
      <x:c r="H228" s="32" t="n">
        <x:v>19100</x:v>
      </x:c>
      <x:c r="I228" s="32" t="n">
        <x:v>15880</x:v>
      </x:c>
      <x:c r="J228" s="32" t="n">
        <x:v>12640</x:v>
      </x:c>
      <x:c r="K228" s="32" t="n">
        <x:v>9400</x:v>
      </x:c>
      <x:c r="L228" s="31" t="n">
        <x:v>192600</x:v>
      </x:c>
    </x:row>
    <x:row r="229" ht="13" hidden="0">
      <x:c r="A229" s="28" t="n">
        <x:v>184</x:v>
      </x:c>
      <x:c r="B229" s="29" t="n">
        <x:v>596000</x:v>
      </x:c>
      <x:c r="C229" s="30" t="n">
        <x:v>599000</x:v>
      </x:c>
      <x:c r="D229" s="32" t="n">
        <x:v>44840</x:v>
      </x:c>
      <x:c r="E229" s="32" t="n">
        <x:v>38380</x:v>
      </x:c>
      <x:c r="F229" s="32" t="n">
        <x:v>31920</x:v>
      </x:c>
      <x:c r="G229" s="32" t="n">
        <x:v>25440</x:v>
      </x:c>
      <x:c r="H229" s="32" t="n">
        <x:v>19380</x:v>
      </x:c>
      <x:c r="I229" s="32" t="n">
        <x:v>16150</x:v>
      </x:c>
      <x:c r="J229" s="32" t="n">
        <x:v>12920</x:v>
      </x:c>
      <x:c r="K229" s="32" t="n">
        <x:v>9680</x:v>
      </x:c>
      <x:c r="L229" s="31" t="n">
        <x:v>194000</x:v>
      </x:c>
    </x:row>
    <x:row r="230" ht="13" hidden="0">
      <x:c r="A230" s="28" t="n">
        <x:v>185</x:v>
      </x:c>
      <x:c r="B230" s="29" t="n">
        <x:v>599000</x:v>
      </x:c>
      <x:c r="C230" s="30" t="n">
        <x:v>602000</x:v>
      </x:c>
      <x:c r="D230" s="32" t="n">
        <x:v>45390</x:v>
      </x:c>
      <x:c r="E230" s="32" t="n">
        <x:v>38930</x:v>
      </x:c>
      <x:c r="F230" s="32" t="n">
        <x:v>32470</x:v>
      </x:c>
      <x:c r="G230" s="32" t="n">
        <x:v>25990</x:v>
      </x:c>
      <x:c r="H230" s="32" t="n">
        <x:v>19650</x:v>
      </x:c>
      <x:c r="I230" s="32" t="n">
        <x:v>16430</x:v>
      </x:c>
      <x:c r="J230" s="32" t="n">
        <x:v>13190</x:v>
      </x:c>
      <x:c r="K230" s="32" t="n">
        <x:v>9950</x:v>
      </x:c>
      <x:c r="L230" s="31" t="n">
        <x:v>195400</x:v>
      </x:c>
    </x:row>
    <x:row r="231" ht="13" hidden="0">
      <x:c r="A231" s="28"/>
      <x:c r="B231" s="29"/>
      <x:c r="C231" s="30"/>
      <x:c r="D231" s="32"/>
      <x:c r="E231" s="32"/>
      <x:c r="F231" s="32"/>
      <x:c r="G231" s="32"/>
      <x:c r="H231" s="32"/>
      <x:c r="I231" s="32"/>
      <x:c r="J231" s="32"/>
      <x:c r="K231" s="32"/>
      <x:c r="L231" s="31"/>
    </x:row>
    <x:row r="232" ht="13" hidden="0">
      <x:c r="A232" s="28" t="n">
        <x:v>186</x:v>
      </x:c>
      <x:c r="B232" s="29" t="n">
        <x:v>602000</x:v>
      </x:c>
      <x:c r="C232" s="30" t="n">
        <x:v>605000</x:v>
      </x:c>
      <x:c r="D232" s="32" t="n">
        <x:v>45950</x:v>
      </x:c>
      <x:c r="E232" s="32" t="n">
        <x:v>39480</x:v>
      </x:c>
      <x:c r="F232" s="32" t="n">
        <x:v>33020</x:v>
      </x:c>
      <x:c r="G232" s="32" t="n">
        <x:v>26550</x:v>
      </x:c>
      <x:c r="H232" s="32" t="n">
        <x:v>20080</x:v>
      </x:c>
      <x:c r="I232" s="32" t="n">
        <x:v>16700</x:v>
      </x:c>
      <x:c r="J232" s="32" t="n">
        <x:v>13470</x:v>
      </x:c>
      <x:c r="K232" s="32" t="n">
        <x:v>10230</x:v>
      </x:c>
      <x:c r="L232" s="31" t="n">
        <x:v>197000</x:v>
      </x:c>
    </x:row>
    <x:row r="233" ht="13" hidden="0">
      <x:c r="A233" s="28" t="n">
        <x:v>187</x:v>
      </x:c>
      <x:c r="B233" s="29" t="n">
        <x:v>605000</x:v>
      </x:c>
      <x:c r="C233" s="30" t="n">
        <x:v>608000</x:v>
      </x:c>
      <x:c r="D233" s="32" t="n">
        <x:v>46500</x:v>
      </x:c>
      <x:c r="E233" s="32" t="n">
        <x:v>40030</x:v>
      </x:c>
      <x:c r="F233" s="32" t="n">
        <x:v>33570</x:v>
      </x:c>
      <x:c r="G233" s="32" t="n">
        <x:v>27100</x:v>
      </x:c>
      <x:c r="H233" s="32" t="n">
        <x:v>20630</x:v>
      </x:c>
      <x:c r="I233" s="32" t="n">
        <x:v>16980</x:v>
      </x:c>
      <x:c r="J233" s="32" t="n">
        <x:v>13740</x:v>
      </x:c>
      <x:c r="K233" s="32" t="n">
        <x:v>10510</x:v>
      </x:c>
      <x:c r="L233" s="31" t="n">
        <x:v>198400</x:v>
      </x:c>
    </x:row>
    <x:row r="234" ht="13" hidden="0">
      <x:c r="A234" s="28" t="n">
        <x:v>188</x:v>
      </x:c>
      <x:c r="B234" s="29" t="n">
        <x:v>608000</x:v>
      </x:c>
      <x:c r="C234" s="30" t="n">
        <x:v>611000</x:v>
      </x:c>
      <x:c r="D234" s="32" t="n">
        <x:v>47050</x:v>
      </x:c>
      <x:c r="E234" s="32" t="n">
        <x:v>40580</x:v>
      </x:c>
      <x:c r="F234" s="32" t="n">
        <x:v>34120</x:v>
      </x:c>
      <x:c r="G234" s="32" t="n">
        <x:v>27650</x:v>
      </x:c>
      <x:c r="H234" s="32" t="n">
        <x:v>21190</x:v>
      </x:c>
      <x:c r="I234" s="32" t="n">
        <x:v>17250</x:v>
      </x:c>
      <x:c r="J234" s="32" t="n">
        <x:v>14020</x:v>
      </x:c>
      <x:c r="K234" s="32" t="n">
        <x:v>10780</x:v>
      </x:c>
      <x:c r="L234" s="31" t="n">
        <x:v>199900</x:v>
      </x:c>
    </x:row>
    <x:row r="235" ht="13" hidden="0">
      <x:c r="A235" s="28" t="n">
        <x:v>189</x:v>
      </x:c>
      <x:c r="B235" s="29" t="n">
        <x:v>611000</x:v>
      </x:c>
      <x:c r="C235" s="30" t="n">
        <x:v>614000</x:v>
      </x:c>
      <x:c r="D235" s="32" t="n">
        <x:v>47600</x:v>
      </x:c>
      <x:c r="E235" s="32" t="n">
        <x:v>41140</x:v>
      </x:c>
      <x:c r="F235" s="32" t="n">
        <x:v>34670</x:v>
      </x:c>
      <x:c r="G235" s="32" t="n">
        <x:v>28200</x:v>
      </x:c>
      <x:c r="H235" s="32" t="n">
        <x:v>21740</x:v>
      </x:c>
      <x:c r="I235" s="32" t="n">
        <x:v>17530</x:v>
      </x:c>
      <x:c r="J235" s="32" t="n">
        <x:v>14290</x:v>
      </x:c>
      <x:c r="K235" s="32" t="n">
        <x:v>11060</x:v>
      </x:c>
      <x:c r="L235" s="31" t="n">
        <x:v>201300</x:v>
      </x:c>
    </x:row>
    <x:row r="236" ht="13" hidden="0">
      <x:c r="A236" s="28" t="n">
        <x:v>190</x:v>
      </x:c>
      <x:c r="B236" s="29" t="n">
        <x:v>614000</x:v>
      </x:c>
      <x:c r="C236" s="30" t="n">
        <x:v>617000</x:v>
      </x:c>
      <x:c r="D236" s="32" t="n">
        <x:v>48150</x:v>
      </x:c>
      <x:c r="E236" s="32" t="n">
        <x:v>41690</x:v>
      </x:c>
      <x:c r="F236" s="32" t="n">
        <x:v>35220</x:v>
      </x:c>
      <x:c r="G236" s="32" t="n">
        <x:v>28750</x:v>
      </x:c>
      <x:c r="H236" s="32" t="n">
        <x:v>22290</x:v>
      </x:c>
      <x:c r="I236" s="32" t="n">
        <x:v>17810</x:v>
      </x:c>
      <x:c r="J236" s="32" t="n">
        <x:v>14570</x:v>
      </x:c>
      <x:c r="K236" s="32" t="n">
        <x:v>11330</x:v>
      </x:c>
      <x:c r="L236" s="31" t="n">
        <x:v>202800</x:v>
      </x:c>
    </x:row>
    <x:row r="237" ht="13" hidden="0">
      <x:c r="A237" s="28"/>
      <x:c r="B237" s="29"/>
      <x:c r="C237" s="30"/>
      <x:c r="D237" s="32"/>
      <x:c r="E237" s="32"/>
      <x:c r="F237" s="32"/>
      <x:c r="G237" s="32"/>
      <x:c r="H237" s="32"/>
      <x:c r="I237" s="32"/>
      <x:c r="J237" s="32"/>
      <x:c r="K237" s="32"/>
      <x:c r="L237" s="31"/>
    </x:row>
    <x:row r="238" ht="13" hidden="0">
      <x:c r="A238" s="28" t="n">
        <x:v>191</x:v>
      </x:c>
      <x:c r="B238" s="29" t="n">
        <x:v>617000</x:v>
      </x:c>
      <x:c r="C238" s="30" t="n">
        <x:v>620000</x:v>
      </x:c>
      <x:c r="D238" s="32" t="n">
        <x:v>48700</x:v>
      </x:c>
      <x:c r="E238" s="32" t="n">
        <x:v>42240</x:v>
      </x:c>
      <x:c r="F238" s="32" t="n">
        <x:v>35780</x:v>
      </x:c>
      <x:c r="G238" s="32" t="n">
        <x:v>29300</x:v>
      </x:c>
      <x:c r="H238" s="32" t="n">
        <x:v>22840</x:v>
      </x:c>
      <x:c r="I238" s="32" t="n">
        <x:v>18080</x:v>
      </x:c>
      <x:c r="J238" s="32" t="n">
        <x:v>14850</x:v>
      </x:c>
      <x:c r="K238" s="32" t="n">
        <x:v>11610</x:v>
      </x:c>
      <x:c r="L238" s="31" t="n">
        <x:v>204300</x:v>
      </x:c>
    </x:row>
    <x:row r="239" ht="13" hidden="0">
      <x:c r="A239" s="28" t="n">
        <x:v>192</x:v>
      </x:c>
      <x:c r="B239" s="29" t="n">
        <x:v>620000</x:v>
      </x:c>
      <x:c r="C239" s="30" t="n">
        <x:v>623000</x:v>
      </x:c>
      <x:c r="D239" s="32" t="n">
        <x:v>49250</x:v>
      </x:c>
      <x:c r="E239" s="32" t="n">
        <x:v>42790</x:v>
      </x:c>
      <x:c r="F239" s="32" t="n">
        <x:v>36330</x:v>
      </x:c>
      <x:c r="G239" s="32" t="n">
        <x:v>29850</x:v>
      </x:c>
      <x:c r="H239" s="32" t="n">
        <x:v>23390</x:v>
      </x:c>
      <x:c r="I239" s="32" t="n">
        <x:v>18360</x:v>
      </x:c>
      <x:c r="J239" s="32" t="n">
        <x:v>15120</x:v>
      </x:c>
      <x:c r="K239" s="32" t="n">
        <x:v>11880</x:v>
      </x:c>
      <x:c r="L239" s="31" t="n">
        <x:v>205700</x:v>
      </x:c>
    </x:row>
    <x:row r="240" ht="13" hidden="0">
      <x:c r="A240" s="28" t="n">
        <x:v>193</x:v>
      </x:c>
      <x:c r="B240" s="29" t="n">
        <x:v>623000</x:v>
      </x:c>
      <x:c r="C240" s="30" t="n">
        <x:v>626000</x:v>
      </x:c>
      <x:c r="D240" s="32" t="n">
        <x:v>49800</x:v>
      </x:c>
      <x:c r="E240" s="32" t="n">
        <x:v>43340</x:v>
      </x:c>
      <x:c r="F240" s="32" t="n">
        <x:v>36880</x:v>
      </x:c>
      <x:c r="G240" s="32" t="n">
        <x:v>30410</x:v>
      </x:c>
      <x:c r="H240" s="32" t="n">
        <x:v>23940</x:v>
      </x:c>
      <x:c r="I240" s="32" t="n">
        <x:v>18630</x:v>
      </x:c>
      <x:c r="J240" s="32" t="n">
        <x:v>15400</x:v>
      </x:c>
      <x:c r="K240" s="32" t="n">
        <x:v>12160</x:v>
      </x:c>
      <x:c r="L240" s="31" t="n">
        <x:v>207300</x:v>
      </x:c>
    </x:row>
    <x:row r="241" ht="13" hidden="0">
      <x:c r="A241" s="28" t="n">
        <x:v>194</x:v>
      </x:c>
      <x:c r="B241" s="29" t="n">
        <x:v>626000</x:v>
      </x:c>
      <x:c r="C241" s="30" t="n">
        <x:v>629000</x:v>
      </x:c>
      <x:c r="D241" s="32" t="n">
        <x:v>50360</x:v>
      </x:c>
      <x:c r="E241" s="32" t="n">
        <x:v>43890</x:v>
      </x:c>
      <x:c r="F241" s="32" t="n">
        <x:v>37430</x:v>
      </x:c>
      <x:c r="G241" s="32" t="n">
        <x:v>30960</x:v>
      </x:c>
      <x:c r="H241" s="32" t="n">
        <x:v>24490</x:v>
      </x:c>
      <x:c r="I241" s="32" t="n">
        <x:v>18910</x:v>
      </x:c>
      <x:c r="J241" s="32" t="n">
        <x:v>15670</x:v>
      </x:c>
      <x:c r="K241" s="32" t="n">
        <x:v>12440</x:v>
      </x:c>
      <x:c r="L241" s="31" t="n">
        <x:v>208700</x:v>
      </x:c>
    </x:row>
    <x:row r="242" ht="13" hidden="0">
      <x:c r="A242" s="28" t="n">
        <x:v>195</x:v>
      </x:c>
      <x:c r="B242" s="29" t="n">
        <x:v>629000</x:v>
      </x:c>
      <x:c r="C242" s="30" t="n">
        <x:v>632000</x:v>
      </x:c>
      <x:c r="D242" s="32" t="n">
        <x:v>50910</x:v>
      </x:c>
      <x:c r="E242" s="32" t="n">
        <x:v>44440</x:v>
      </x:c>
      <x:c r="F242" s="32" t="n">
        <x:v>37980</x:v>
      </x:c>
      <x:c r="G242" s="32" t="n">
        <x:v>31510</x:v>
      </x:c>
      <x:c r="H242" s="32" t="n">
        <x:v>25050</x:v>
      </x:c>
      <x:c r="I242" s="32" t="n">
        <x:v>19180</x:v>
      </x:c>
      <x:c r="J242" s="32" t="n">
        <x:v>15950</x:v>
      </x:c>
      <x:c r="K242" s="32" t="n">
        <x:v>12710</x:v>
      </x:c>
      <x:c r="L242" s="31" t="n">
        <x:v>210100</x:v>
      </x:c>
    </x:row>
    <x:row r="243" ht="13" hidden="0">
      <x:c r="A243" s="33"/>
      <x:c r="B243" s="34"/>
      <x:c r="C243" s="35"/>
      <x:c r="D243" s="36"/>
      <x:c r="E243" s="36"/>
      <x:c r="F243" s="36"/>
      <x:c r="G243" s="36"/>
      <x:c r="H243" s="36"/>
      <x:c r="I243" s="36"/>
      <x:c r="J243" s="36"/>
      <x:c r="K243" s="36"/>
      <x:c r="L243" s="37"/>
    </x:row>
    <x:row r="244" ht="13" hidden="0">
      <x:c r="A244" s="28" t="n">
        <x:v>196</x:v>
      </x:c>
      <x:c r="B244" s="29" t="n">
        <x:v>632000</x:v>
      </x:c>
      <x:c r="C244" s="30" t="n">
        <x:v>635000</x:v>
      </x:c>
      <x:c r="D244" s="32" t="n">
        <x:v>51460</x:v>
      </x:c>
      <x:c r="E244" s="32" t="n">
        <x:v>45000</x:v>
      </x:c>
      <x:c r="F244" s="32" t="n">
        <x:v>38530</x:v>
      </x:c>
      <x:c r="G244" s="32" t="n">
        <x:v>32060</x:v>
      </x:c>
      <x:c r="H244" s="32" t="n">
        <x:v>25600</x:v>
      </x:c>
      <x:c r="I244" s="32" t="n">
        <x:v>19460</x:v>
      </x:c>
      <x:c r="J244" s="32" t="n">
        <x:v>16220</x:v>
      </x:c>
      <x:c r="K244" s="32" t="n">
        <x:v>12990</x:v>
      </x:c>
      <x:c r="L244" s="31" t="n">
        <x:v>211700</x:v>
      </x:c>
    </x:row>
    <x:row r="245" ht="13" hidden="0">
      <x:c r="A245" s="28" t="n">
        <x:v>197</x:v>
      </x:c>
      <x:c r="B245" s="29" t="n">
        <x:v>635000</x:v>
      </x:c>
      <x:c r="C245" s="30" t="n">
        <x:v>638000</x:v>
      </x:c>
      <x:c r="D245" s="32" t="n">
        <x:v>52010</x:v>
      </x:c>
      <x:c r="E245" s="32" t="n">
        <x:v>45550</x:v>
      </x:c>
      <x:c r="F245" s="32" t="n">
        <x:v>39080</x:v>
      </x:c>
      <x:c r="G245" s="32" t="n">
        <x:v>32610</x:v>
      </x:c>
      <x:c r="H245" s="32" t="n">
        <x:v>26150</x:v>
      </x:c>
      <x:c r="I245" s="32" t="n">
        <x:v>19740</x:v>
      </x:c>
      <x:c r="J245" s="32" t="n">
        <x:v>16500</x:v>
      </x:c>
      <x:c r="K245" s="32" t="n">
        <x:v>13260</x:v>
      </x:c>
      <x:c r="L245" s="31" t="n">
        <x:v>213100</x:v>
      </x:c>
    </x:row>
    <x:row r="246" ht="13" hidden="0">
      <x:c r="A246" s="28" t="n">
        <x:v>198</x:v>
      </x:c>
      <x:c r="B246" s="29" t="n">
        <x:v>638000</x:v>
      </x:c>
      <x:c r="C246" s="30" t="n">
        <x:v>641000</x:v>
      </x:c>
      <x:c r="D246" s="30" t="n">
        <x:v>52560</x:v>
      </x:c>
      <x:c r="E246" s="30" t="n">
        <x:v>46100</x:v>
      </x:c>
      <x:c r="F246" s="30" t="n">
        <x:v>39640</x:v>
      </x:c>
      <x:c r="G246" s="30" t="n">
        <x:v>33160</x:v>
      </x:c>
      <x:c r="H246" s="30" t="n">
        <x:v>26700</x:v>
      </x:c>
      <x:c r="I246" s="30" t="n">
        <x:v>20240</x:v>
      </x:c>
      <x:c r="J246" s="30" t="n">
        <x:v>16780</x:v>
      </x:c>
      <x:c r="K246" s="30" t="n">
        <x:v>13540</x:v>
      </x:c>
      <x:c r="L246" s="31" t="n">
        <x:v>214600</x:v>
      </x:c>
    </x:row>
    <x:row r="247" ht="13" hidden="0">
      <x:c r="A247" s="28" t="n">
        <x:v>199</x:v>
      </x:c>
      <x:c r="B247" s="29" t="n">
        <x:v>641000</x:v>
      </x:c>
      <x:c r="C247" s="30" t="n">
        <x:v>644000</x:v>
      </x:c>
      <x:c r="D247" s="30" t="n">
        <x:v>53110</x:v>
      </x:c>
      <x:c r="E247" s="30" t="n">
        <x:v>46650</x:v>
      </x:c>
      <x:c r="F247" s="30" t="n">
        <x:v>40190</x:v>
      </x:c>
      <x:c r="G247" s="30" t="n">
        <x:v>33710</x:v>
      </x:c>
      <x:c r="H247" s="30" t="n">
        <x:v>27250</x:v>
      </x:c>
      <x:c r="I247" s="30" t="n">
        <x:v>20790</x:v>
      </x:c>
      <x:c r="J247" s="30" t="n">
        <x:v>17050</x:v>
      </x:c>
      <x:c r="K247" s="30" t="n">
        <x:v>13810</x:v>
      </x:c>
      <x:c r="L247" s="31" t="n">
        <x:v>215900</x:v>
      </x:c>
    </x:row>
    <x:row r="248" ht="13" hidden="0">
      <x:c r="A248" s="28" t="n">
        <x:v>200</x:v>
      </x:c>
      <x:c r="B248" s="29" t="n">
        <x:v>644000</x:v>
      </x:c>
      <x:c r="C248" s="30" t="n">
        <x:v>647000</x:v>
      </x:c>
      <x:c r="D248" s="30" t="n">
        <x:v>53660</x:v>
      </x:c>
      <x:c r="E248" s="30" t="n">
        <x:v>47200</x:v>
      </x:c>
      <x:c r="F248" s="30" t="n">
        <x:v>40740</x:v>
      </x:c>
      <x:c r="G248" s="30" t="n">
        <x:v>34260</x:v>
      </x:c>
      <x:c r="H248" s="30" t="n">
        <x:v>27800</x:v>
      </x:c>
      <x:c r="I248" s="30" t="n">
        <x:v>21340</x:v>
      </x:c>
      <x:c r="J248" s="30" t="n">
        <x:v>17330</x:v>
      </x:c>
      <x:c r="K248" s="30" t="n">
        <x:v>14090</x:v>
      </x:c>
      <x:c r="L248" s="31" t="n">
        <x:v>217000</x:v>
      </x:c>
    </x:row>
    <x:row r="249" ht="13" hidden="0">
      <x:c r="A249" s="28"/>
      <x:c r="B249" s="29"/>
      <x:c r="C249" s="30"/>
      <x:c r="D249" s="30"/>
      <x:c r="E249" s="30"/>
      <x:c r="F249" s="30"/>
      <x:c r="G249" s="30"/>
      <x:c r="H249" s="30"/>
      <x:c r="I249" s="30"/>
      <x:c r="J249" s="30"/>
      <x:c r="K249" s="30"/>
      <x:c r="L249" s="31"/>
    </x:row>
    <x:row r="250" ht="13" hidden="0">
      <x:c r="A250" s="28" t="n">
        <x:v>201</x:v>
      </x:c>
      <x:c r="B250" s="29" t="n">
        <x:v>647000</x:v>
      </x:c>
      <x:c r="C250" s="30" t="n">
        <x:v>650000</x:v>
      </x:c>
      <x:c r="D250" s="30" t="n">
        <x:v>54220</x:v>
      </x:c>
      <x:c r="E250" s="30" t="n">
        <x:v>47750</x:v>
      </x:c>
      <x:c r="F250" s="30" t="n">
        <x:v>41290</x:v>
      </x:c>
      <x:c r="G250" s="30" t="n">
        <x:v>34820</x:v>
      </x:c>
      <x:c r="H250" s="30" t="n">
        <x:v>28350</x:v>
      </x:c>
      <x:c r="I250" s="30" t="n">
        <x:v>21890</x:v>
      </x:c>
      <x:c r="J250" s="30" t="n">
        <x:v>17600</x:v>
      </x:c>
      <x:c r="K250" s="30" t="n">
        <x:v>14370</x:v>
      </x:c>
      <x:c r="L250" s="31" t="n">
        <x:v>218000</x:v>
      </x:c>
    </x:row>
    <x:row r="251" ht="13" hidden="0">
      <x:c r="A251" s="28" t="n">
        <x:v>202</x:v>
      </x:c>
      <x:c r="B251" s="29" t="n">
        <x:v>650000</x:v>
      </x:c>
      <x:c r="C251" s="30" t="n">
        <x:v>653000</x:v>
      </x:c>
      <x:c r="D251" s="30" t="n">
        <x:v>54770</x:v>
      </x:c>
      <x:c r="E251" s="30" t="n">
        <x:v>48300</x:v>
      </x:c>
      <x:c r="F251" s="30" t="n">
        <x:v>41840</x:v>
      </x:c>
      <x:c r="G251" s="30" t="n">
        <x:v>35370</x:v>
      </x:c>
      <x:c r="H251" s="30" t="n">
        <x:v>28900</x:v>
      </x:c>
      <x:c r="I251" s="30" t="n">
        <x:v>22440</x:v>
      </x:c>
      <x:c r="J251" s="30" t="n">
        <x:v>17880</x:v>
      </x:c>
      <x:c r="K251" s="30" t="n">
        <x:v>14640</x:v>
      </x:c>
      <x:c r="L251" s="31" t="n">
        <x:v>219000</x:v>
      </x:c>
    </x:row>
    <x:row r="252" ht="13" hidden="0">
      <x:c r="A252" s="28" t="n">
        <x:v>203</x:v>
      </x:c>
      <x:c r="B252" s="29" t="n">
        <x:v>653000</x:v>
      </x:c>
      <x:c r="C252" s="30" t="n">
        <x:v>656000</x:v>
      </x:c>
      <x:c r="D252" s="30" t="n">
        <x:v>55320</x:v>
      </x:c>
      <x:c r="E252" s="30" t="n">
        <x:v>48850</x:v>
      </x:c>
      <x:c r="F252" s="30" t="n">
        <x:v>42390</x:v>
      </x:c>
      <x:c r="G252" s="30" t="n">
        <x:v>35920</x:v>
      </x:c>
      <x:c r="H252" s="30" t="n">
        <x:v>29460</x:v>
      </x:c>
      <x:c r="I252" s="30" t="n">
        <x:v>22990</x:v>
      </x:c>
      <x:c r="J252" s="30" t="n">
        <x:v>18150</x:v>
      </x:c>
      <x:c r="K252" s="30" t="n">
        <x:v>14920</x:v>
      </x:c>
      <x:c r="L252" s="31" t="n">
        <x:v>220000</x:v>
      </x:c>
    </x:row>
    <x:row r="253" ht="13" hidden="0">
      <x:c r="A253" s="28" t="n">
        <x:v>204</x:v>
      </x:c>
      <x:c r="B253" s="29" t="n">
        <x:v>656000</x:v>
      </x:c>
      <x:c r="C253" s="30" t="n">
        <x:v>659000</x:v>
      </x:c>
      <x:c r="D253" s="30" t="n">
        <x:v>55870</x:v>
      </x:c>
      <x:c r="E253" s="30" t="n">
        <x:v>49410</x:v>
      </x:c>
      <x:c r="F253" s="30" t="n">
        <x:v>42940</x:v>
      </x:c>
      <x:c r="G253" s="30" t="n">
        <x:v>36470</x:v>
      </x:c>
      <x:c r="H253" s="30" t="n">
        <x:v>30010</x:v>
      </x:c>
      <x:c r="I253" s="30" t="n">
        <x:v>23540</x:v>
      </x:c>
      <x:c r="J253" s="30" t="n">
        <x:v>18430</x:v>
      </x:c>
      <x:c r="K253" s="30" t="n">
        <x:v>15190</x:v>
      </x:c>
      <x:c r="L253" s="31" t="n">
        <x:v>221000</x:v>
      </x:c>
    </x:row>
    <x:row r="254" ht="13" hidden="0">
      <x:c r="A254" s="28" t="n">
        <x:v>205</x:v>
      </x:c>
      <x:c r="B254" s="29" t="n">
        <x:v>659000</x:v>
      </x:c>
      <x:c r="C254" s="30" t="n">
        <x:v>662000</x:v>
      </x:c>
      <x:c r="D254" s="30" t="n">
        <x:v>56420</x:v>
      </x:c>
      <x:c r="E254" s="30" t="n">
        <x:v>49960</x:v>
      </x:c>
      <x:c r="F254" s="30" t="n">
        <x:v>43490</x:v>
      </x:c>
      <x:c r="G254" s="30" t="n">
        <x:v>37020</x:v>
      </x:c>
      <x:c r="H254" s="30" t="n">
        <x:v>30560</x:v>
      </x:c>
      <x:c r="I254" s="30" t="n">
        <x:v>24100</x:v>
      </x:c>
      <x:c r="J254" s="30" t="n">
        <x:v>18700</x:v>
      </x:c>
      <x:c r="K254" s="30" t="n">
        <x:v>15470</x:v>
      </x:c>
      <x:c r="L254" s="31" t="n">
        <x:v>222100</x:v>
      </x:c>
    </x:row>
    <x:row r="255" ht="13" hidden="0">
      <x:c r="A255" s="28"/>
      <x:c r="B255" s="29"/>
      <x:c r="C255" s="30"/>
      <x:c r="D255" s="30"/>
      <x:c r="E255" s="30"/>
      <x:c r="F255" s="30"/>
      <x:c r="G255" s="30"/>
      <x:c r="H255" s="30"/>
      <x:c r="I255" s="30"/>
      <x:c r="J255" s="30"/>
      <x:c r="K255" s="30"/>
      <x:c r="L255" s="31"/>
    </x:row>
    <x:row r="256" ht="13" hidden="0">
      <x:c r="A256" s="28" t="n">
        <x:v>206</x:v>
      </x:c>
      <x:c r="B256" s="29" t="n">
        <x:v>662000</x:v>
      </x:c>
      <x:c r="C256" s="30" t="n">
        <x:v>665000</x:v>
      </x:c>
      <x:c r="D256" s="30" t="n">
        <x:v>56970</x:v>
      </x:c>
      <x:c r="E256" s="30" t="n">
        <x:v>50510</x:v>
      </x:c>
      <x:c r="F256" s="30" t="n">
        <x:v>44050</x:v>
      </x:c>
      <x:c r="G256" s="30" t="n">
        <x:v>37570</x:v>
      </x:c>
      <x:c r="H256" s="30" t="n">
        <x:v>31110</x:v>
      </x:c>
      <x:c r="I256" s="30" t="n">
        <x:v>24650</x:v>
      </x:c>
      <x:c r="J256" s="30" t="n">
        <x:v>18980</x:v>
      </x:c>
      <x:c r="K256" s="30" t="n">
        <x:v>15740</x:v>
      </x:c>
      <x:c r="L256" s="31" t="n">
        <x:v>223100</x:v>
      </x:c>
    </x:row>
    <x:row r="257" ht="13" hidden="0">
      <x:c r="A257" s="28" t="n">
        <x:v>207</x:v>
      </x:c>
      <x:c r="B257" s="29" t="n">
        <x:v>665000</x:v>
      </x:c>
      <x:c r="C257" s="30" t="n">
        <x:v>668000</x:v>
      </x:c>
      <x:c r="D257" s="30" t="n">
        <x:v>57520</x:v>
      </x:c>
      <x:c r="E257" s="30" t="n">
        <x:v>51060</x:v>
      </x:c>
      <x:c r="F257" s="30" t="n">
        <x:v>44600</x:v>
      </x:c>
      <x:c r="G257" s="30" t="n">
        <x:v>38120</x:v>
      </x:c>
      <x:c r="H257" s="30" t="n">
        <x:v>31660</x:v>
      </x:c>
      <x:c r="I257" s="30" t="n">
        <x:v>25200</x:v>
      </x:c>
      <x:c r="J257" s="30" t="n">
        <x:v>19260</x:v>
      </x:c>
      <x:c r="K257" s="30" t="n">
        <x:v>16020</x:v>
      </x:c>
      <x:c r="L257" s="31" t="n">
        <x:v>224100</x:v>
      </x:c>
    </x:row>
    <x:row r="258" ht="13" hidden="0">
      <x:c r="A258" s="28" t="n">
        <x:v>208</x:v>
      </x:c>
      <x:c r="B258" s="29" t="n">
        <x:v>668000</x:v>
      </x:c>
      <x:c r="C258" s="30" t="n">
        <x:v>671000</x:v>
      </x:c>
      <x:c r="D258" s="30" t="n">
        <x:v>58070</x:v>
      </x:c>
      <x:c r="E258" s="30" t="n">
        <x:v>51610</x:v>
      </x:c>
      <x:c r="F258" s="30" t="n">
        <x:v>45150</x:v>
      </x:c>
      <x:c r="G258" s="30" t="n">
        <x:v>38680</x:v>
      </x:c>
      <x:c r="H258" s="30" t="n">
        <x:v>32210</x:v>
      </x:c>
      <x:c r="I258" s="30" t="n">
        <x:v>25750</x:v>
      </x:c>
      <x:c r="J258" s="30" t="n">
        <x:v>19530</x:v>
      </x:c>
      <x:c r="K258" s="30" t="n">
        <x:v>16300</x:v>
      </x:c>
      <x:c r="L258" s="31" t="n">
        <x:v>225000</x:v>
      </x:c>
    </x:row>
    <x:row r="259" ht="13" hidden="0">
      <x:c r="A259" s="28" t="n">
        <x:v>209</x:v>
      </x:c>
      <x:c r="B259" s="29" t="n">
        <x:v>671000</x:v>
      </x:c>
      <x:c r="C259" s="30" t="n">
        <x:v>674000</x:v>
      </x:c>
      <x:c r="D259" s="30" t="n">
        <x:v>58630</x:v>
      </x:c>
      <x:c r="E259" s="30" t="n">
        <x:v>52160</x:v>
      </x:c>
      <x:c r="F259" s="30" t="n">
        <x:v>45700</x:v>
      </x:c>
      <x:c r="G259" s="30" t="n">
        <x:v>39230</x:v>
      </x:c>
      <x:c r="H259" s="30" t="n">
        <x:v>32760</x:v>
      </x:c>
      <x:c r="I259" s="30" t="n">
        <x:v>26300</x:v>
      </x:c>
      <x:c r="J259" s="30" t="n">
        <x:v>19830</x:v>
      </x:c>
      <x:c r="K259" s="30" t="n">
        <x:v>16570</x:v>
      </x:c>
      <x:c r="L259" s="31" t="n">
        <x:v>226000</x:v>
      </x:c>
    </x:row>
    <x:row r="260" ht="13" hidden="0">
      <x:c r="A260" s="28" t="n">
        <x:v>210</x:v>
      </x:c>
      <x:c r="B260" s="29" t="n">
        <x:v>674000</x:v>
      </x:c>
      <x:c r="C260" s="30" t="n">
        <x:v>677000</x:v>
      </x:c>
      <x:c r="D260" s="30" t="n">
        <x:v>59180</x:v>
      </x:c>
      <x:c r="E260" s="30" t="n">
        <x:v>52710</x:v>
      </x:c>
      <x:c r="F260" s="30" t="n">
        <x:v>46250</x:v>
      </x:c>
      <x:c r="G260" s="30" t="n">
        <x:v>39780</x:v>
      </x:c>
      <x:c r="H260" s="30" t="n">
        <x:v>33320</x:v>
      </x:c>
      <x:c r="I260" s="30" t="n">
        <x:v>26850</x:v>
      </x:c>
      <x:c r="J260" s="30" t="n">
        <x:v>20380</x:v>
      </x:c>
      <x:c r="K260" s="30" t="n">
        <x:v>16850</x:v>
      </x:c>
      <x:c r="L260" s="31" t="n">
        <x:v>227100</x:v>
      </x:c>
    </x:row>
    <x:row r="261" ht="13" hidden="0">
      <x:c r="A261" s="28"/>
      <x:c r="B261" s="29"/>
      <x:c r="C261" s="30"/>
      <x:c r="D261" s="30"/>
      <x:c r="E261" s="30"/>
      <x:c r="F261" s="30"/>
      <x:c r="G261" s="30"/>
      <x:c r="H261" s="30"/>
      <x:c r="I261" s="30"/>
      <x:c r="J261" s="30"/>
      <x:c r="K261" s="30"/>
      <x:c r="L261" s="31"/>
    </x:row>
    <x:row r="262" ht="13" hidden="0">
      <x:c r="A262" s="28" t="n">
        <x:v>211</x:v>
      </x:c>
      <x:c r="B262" s="29" t="n">
        <x:v>677000</x:v>
      </x:c>
      <x:c r="C262" s="30" t="n">
        <x:v>680000</x:v>
      </x:c>
      <x:c r="D262" s="30" t="n">
        <x:v>59730</x:v>
      </x:c>
      <x:c r="E262" s="30" t="n">
        <x:v>53270</x:v>
      </x:c>
      <x:c r="F262" s="30" t="n">
        <x:v>46800</x:v>
      </x:c>
      <x:c r="G262" s="30" t="n">
        <x:v>40330</x:v>
      </x:c>
      <x:c r="H262" s="30" t="n">
        <x:v>33870</x:v>
      </x:c>
      <x:c r="I262" s="30" t="n">
        <x:v>27400</x:v>
      </x:c>
      <x:c r="J262" s="30" t="n">
        <x:v>20930</x:v>
      </x:c>
      <x:c r="K262" s="30" t="n">
        <x:v>17120</x:v>
      </x:c>
      <x:c r="L262" s="31" t="n">
        <x:v>228100</x:v>
      </x:c>
    </x:row>
    <x:row r="263" ht="13" hidden="0">
      <x:c r="A263" s="28" t="n">
        <x:v>212</x:v>
      </x:c>
      <x:c r="B263" s="29" t="n">
        <x:v>680000</x:v>
      </x:c>
      <x:c r="C263" s="30" t="n">
        <x:v>683000</x:v>
      </x:c>
      <x:c r="D263" s="30" t="n">
        <x:v>60280</x:v>
      </x:c>
      <x:c r="E263" s="30" t="n">
        <x:v>53820</x:v>
      </x:c>
      <x:c r="F263" s="30" t="n">
        <x:v>47350</x:v>
      </x:c>
      <x:c r="G263" s="30" t="n">
        <x:v>40880</x:v>
      </x:c>
      <x:c r="H263" s="30" t="n">
        <x:v>34420</x:v>
      </x:c>
      <x:c r="I263" s="30" t="n">
        <x:v>27950</x:v>
      </x:c>
      <x:c r="J263" s="30" t="n">
        <x:v>21480</x:v>
      </x:c>
      <x:c r="K263" s="30" t="n">
        <x:v>17400</x:v>
      </x:c>
      <x:c r="L263" s="31" t="n">
        <x:v>229100</x:v>
      </x:c>
    </x:row>
    <x:row r="264" ht="13" hidden="0">
      <x:c r="A264" s="28" t="n">
        <x:v>213</x:v>
      </x:c>
      <x:c r="B264" s="29" t="n">
        <x:v>683000</x:v>
      </x:c>
      <x:c r="C264" s="30" t="n">
        <x:v>686000</x:v>
      </x:c>
      <x:c r="D264" s="30" t="n">
        <x:v>60830</x:v>
      </x:c>
      <x:c r="E264" s="30" t="n">
        <x:v>54370</x:v>
      </x:c>
      <x:c r="F264" s="30" t="n">
        <x:v>47910</x:v>
      </x:c>
      <x:c r="G264" s="30" t="n">
        <x:v>41430</x:v>
      </x:c>
      <x:c r="H264" s="30" t="n">
        <x:v>34970</x:v>
      </x:c>
      <x:c r="I264" s="30" t="n">
        <x:v>28510</x:v>
      </x:c>
      <x:c r="J264" s="30" t="n">
        <x:v>22030</x:v>
      </x:c>
      <x:c r="K264" s="30" t="n">
        <x:v>17670</x:v>
      </x:c>
      <x:c r="L264" s="31" t="n">
        <x:v>230100</x:v>
      </x:c>
    </x:row>
    <x:row r="265" ht="13" hidden="0">
      <x:c r="A265" s="28" t="n">
        <x:v>214</x:v>
      </x:c>
      <x:c r="B265" s="29" t="n">
        <x:v>686000</x:v>
      </x:c>
      <x:c r="C265" s="30" t="n">
        <x:v>689000</x:v>
      </x:c>
      <x:c r="D265" s="30" t="n">
        <x:v>61380</x:v>
      </x:c>
      <x:c r="E265" s="30" t="n">
        <x:v>54920</x:v>
      </x:c>
      <x:c r="F265" s="30" t="n">
        <x:v>48460</x:v>
      </x:c>
      <x:c r="G265" s="30" t="n">
        <x:v>41980</x:v>
      </x:c>
      <x:c r="H265" s="30" t="n">
        <x:v>35520</x:v>
      </x:c>
      <x:c r="I265" s="30" t="n">
        <x:v>29060</x:v>
      </x:c>
      <x:c r="J265" s="30" t="n">
        <x:v>22580</x:v>
      </x:c>
      <x:c r="K265" s="30" t="n">
        <x:v>17950</x:v>
      </x:c>
      <x:c r="L265" s="31" t="n">
        <x:v>231500</x:v>
      </x:c>
    </x:row>
    <x:row r="266" ht="13" hidden="0">
      <x:c r="A266" s="28" t="n">
        <x:v>215</x:v>
      </x:c>
      <x:c r="B266" s="29" t="n">
        <x:v>689000</x:v>
      </x:c>
      <x:c r="C266" s="30" t="n">
        <x:v>692000</x:v>
      </x:c>
      <x:c r="D266" s="30" t="n">
        <x:v>61930</x:v>
      </x:c>
      <x:c r="E266" s="30" t="n">
        <x:v>55470</x:v>
      </x:c>
      <x:c r="F266" s="30" t="n">
        <x:v>49010</x:v>
      </x:c>
      <x:c r="G266" s="30" t="n">
        <x:v>42530</x:v>
      </x:c>
      <x:c r="H266" s="30" t="n">
        <x:v>36070</x:v>
      </x:c>
      <x:c r="I266" s="30" t="n">
        <x:v>29610</x:v>
      </x:c>
      <x:c r="J266" s="30" t="n">
        <x:v>23140</x:v>
      </x:c>
      <x:c r="K266" s="30" t="n">
        <x:v>18220</x:v>
      </x:c>
      <x:c r="L266" s="31" t="n">
        <x:v>233000</x:v>
      </x:c>
    </x:row>
    <x:row r="267" ht="13" hidden="0">
      <x:c r="A267" s="28"/>
      <x:c r="B267" s="29"/>
      <x:c r="C267" s="30"/>
      <x:c r="D267" s="30"/>
      <x:c r="E267" s="30"/>
      <x:c r="F267" s="30"/>
      <x:c r="G267" s="30"/>
      <x:c r="H267" s="30"/>
      <x:c r="I267" s="30"/>
      <x:c r="J267" s="30"/>
      <x:c r="K267" s="30"/>
      <x:c r="L267" s="31"/>
    </x:row>
    <x:row r="268" ht="13" hidden="0">
      <x:c r="A268" s="28" t="n">
        <x:v>216</x:v>
      </x:c>
      <x:c r="B268" s="29" t="n">
        <x:v>692000</x:v>
      </x:c>
      <x:c r="C268" s="30" t="n">
        <x:v>695000</x:v>
      </x:c>
      <x:c r="D268" s="30" t="n">
        <x:v>62490</x:v>
      </x:c>
      <x:c r="E268" s="30" t="n">
        <x:v>56020</x:v>
      </x:c>
      <x:c r="F268" s="30" t="n">
        <x:v>49560</x:v>
      </x:c>
      <x:c r="G268" s="30" t="n">
        <x:v>43090</x:v>
      </x:c>
      <x:c r="H268" s="30" t="n">
        <x:v>36620</x:v>
      </x:c>
      <x:c r="I268" s="30" t="n">
        <x:v>30160</x:v>
      </x:c>
      <x:c r="J268" s="30" t="n">
        <x:v>23690</x:v>
      </x:c>
      <x:c r="K268" s="30" t="n">
        <x:v>18500</x:v>
      </x:c>
      <x:c r="L268" s="31" t="n">
        <x:v>234500</x:v>
      </x:c>
    </x:row>
    <x:row r="269" ht="13" hidden="0">
      <x:c r="A269" s="28" t="n">
        <x:v>217</x:v>
      </x:c>
      <x:c r="B269" s="29" t="n">
        <x:v>695000</x:v>
      </x:c>
      <x:c r="C269" s="30" t="n">
        <x:v>698000</x:v>
      </x:c>
      <x:c r="D269" s="30" t="n">
        <x:v>63040</x:v>
      </x:c>
      <x:c r="E269" s="30" t="n">
        <x:v>56570</x:v>
      </x:c>
      <x:c r="F269" s="30" t="n">
        <x:v>50110</x:v>
      </x:c>
      <x:c r="G269" s="30" t="n">
        <x:v>43640</x:v>
      </x:c>
      <x:c r="H269" s="30" t="n">
        <x:v>37170</x:v>
      </x:c>
      <x:c r="I269" s="30" t="n">
        <x:v>30710</x:v>
      </x:c>
      <x:c r="J269" s="30" t="n">
        <x:v>24240</x:v>
      </x:c>
      <x:c r="K269" s="30" t="n">
        <x:v>18780</x:v>
      </x:c>
      <x:c r="L269" s="31" t="n">
        <x:v>236100</x:v>
      </x:c>
    </x:row>
    <x:row r="270" ht="13" hidden="0">
      <x:c r="A270" s="28" t="n">
        <x:v>218</x:v>
      </x:c>
      <x:c r="B270" s="29" t="n">
        <x:v>698000</x:v>
      </x:c>
      <x:c r="C270" s="30" t="n">
        <x:v>701000</x:v>
      </x:c>
      <x:c r="D270" s="30" t="n">
        <x:v>63590</x:v>
      </x:c>
      <x:c r="E270" s="30" t="n">
        <x:v>57120</x:v>
      </x:c>
      <x:c r="F270" s="30" t="n">
        <x:v>50660</x:v>
      </x:c>
      <x:c r="G270" s="30" t="n">
        <x:v>44190</x:v>
      </x:c>
      <x:c r="H270" s="30" t="n">
        <x:v>37730</x:v>
      </x:c>
      <x:c r="I270" s="30" t="n">
        <x:v>31260</x:v>
      </x:c>
      <x:c r="J270" s="30" t="n">
        <x:v>24790</x:v>
      </x:c>
      <x:c r="K270" s="30" t="n">
        <x:v>19050</x:v>
      </x:c>
      <x:c r="L270" s="31" t="n">
        <x:v>237600</x:v>
      </x:c>
    </x:row>
    <x:row r="271" ht="13" hidden="0">
      <x:c r="A271" s="28" t="n">
        <x:v>219</x:v>
      </x:c>
      <x:c r="B271" s="29" t="n">
        <x:v>701000</x:v>
      </x:c>
      <x:c r="C271" s="30" t="n">
        <x:v>704000</x:v>
      </x:c>
      <x:c r="D271" s="30" t="n">
        <x:v>64140</x:v>
      </x:c>
      <x:c r="E271" s="30" t="n">
        <x:v>57680</x:v>
      </x:c>
      <x:c r="F271" s="30" t="n">
        <x:v>51210</x:v>
      </x:c>
      <x:c r="G271" s="30" t="n">
        <x:v>44740</x:v>
      </x:c>
      <x:c r="H271" s="30" t="n">
        <x:v>38280</x:v>
      </x:c>
      <x:c r="I271" s="30" t="n">
        <x:v>31810</x:v>
      </x:c>
      <x:c r="J271" s="30" t="n">
        <x:v>25340</x:v>
      </x:c>
      <x:c r="K271" s="30" t="n">
        <x:v>19330</x:v>
      </x:c>
      <x:c r="L271" s="31" t="n">
        <x:v>239100</x:v>
      </x:c>
    </x:row>
    <x:row r="272" ht="13" hidden="0">
      <x:c r="A272" s="28" t="n">
        <x:v>220</x:v>
      </x:c>
      <x:c r="B272" s="29" t="n">
        <x:v>704000</x:v>
      </x:c>
      <x:c r="C272" s="30" t="n">
        <x:v>707000</x:v>
      </x:c>
      <x:c r="D272" s="30" t="n">
        <x:v>64690</x:v>
      </x:c>
      <x:c r="E272" s="30" t="n">
        <x:v>58230</x:v>
      </x:c>
      <x:c r="F272" s="30" t="n">
        <x:v>51760</x:v>
      </x:c>
      <x:c r="G272" s="30" t="n">
        <x:v>45290</x:v>
      </x:c>
      <x:c r="H272" s="30" t="n">
        <x:v>38830</x:v>
      </x:c>
      <x:c r="I272" s="30" t="n">
        <x:v>32370</x:v>
      </x:c>
      <x:c r="J272" s="30" t="n">
        <x:v>25890</x:v>
      </x:c>
      <x:c r="K272" s="30" t="n">
        <x:v>19600</x:v>
      </x:c>
      <x:c r="L272" s="31" t="n">
        <x:v>240800</x:v>
      </x:c>
    </x:row>
    <x:row r="273" ht="13" hidden="0">
      <x:c r="A273" s="28"/>
      <x:c r="B273" s="29"/>
      <x:c r="C273" s="30"/>
      <x:c r="D273" s="30"/>
      <x:c r="E273" s="30"/>
      <x:c r="F273" s="30"/>
      <x:c r="G273" s="30"/>
      <x:c r="H273" s="30"/>
      <x:c r="I273" s="30"/>
      <x:c r="J273" s="30"/>
      <x:c r="K273" s="30"/>
      <x:c r="L273" s="31"/>
    </x:row>
    <x:row r="274" ht="13" hidden="0">
      <x:c r="A274" s="28" t="n">
        <x:v>221</x:v>
      </x:c>
      <x:c r="B274" s="29" t="n">
        <x:v>707000</x:v>
      </x:c>
      <x:c r="C274" s="30" t="n">
        <x:v>710000</x:v>
      </x:c>
      <x:c r="D274" s="30" t="n">
        <x:v>65250</x:v>
      </x:c>
      <x:c r="E274" s="30" t="n">
        <x:v>58780</x:v>
      </x:c>
      <x:c r="F274" s="30" t="n">
        <x:v>52320</x:v>
      </x:c>
      <x:c r="G274" s="30" t="n">
        <x:v>45850</x:v>
      </x:c>
      <x:c r="H274" s="30" t="n">
        <x:v>39380</x:v>
      </x:c>
      <x:c r="I274" s="30" t="n">
        <x:v>32920</x:v>
      </x:c>
      <x:c r="J274" s="30" t="n">
        <x:v>26450</x:v>
      </x:c>
      <x:c r="K274" s="30" t="n">
        <x:v>19980</x:v>
      </x:c>
      <x:c r="L274" s="31" t="n">
        <x:v>242300</x:v>
      </x:c>
    </x:row>
    <x:row r="275" ht="13" hidden="0">
      <x:c r="A275" s="28" t="n">
        <x:v>222</x:v>
      </x:c>
      <x:c r="B275" s="29" t="n">
        <x:v>710000</x:v>
      </x:c>
      <x:c r="C275" s="30" t="n">
        <x:v>713000</x:v>
      </x:c>
      <x:c r="D275" s="30" t="n">
        <x:v>65860</x:v>
      </x:c>
      <x:c r="E275" s="30" t="n">
        <x:v>59390</x:v>
      </x:c>
      <x:c r="F275" s="30" t="n">
        <x:v>52930</x:v>
      </x:c>
      <x:c r="G275" s="30" t="n">
        <x:v>46470</x:v>
      </x:c>
      <x:c r="H275" s="30" t="n">
        <x:v>39990</x:v>
      </x:c>
      <x:c r="I275" s="30" t="n">
        <x:v>33530</x:v>
      </x:c>
      <x:c r="J275" s="30" t="n">
        <x:v>27070</x:v>
      </x:c>
      <x:c r="K275" s="30" t="n">
        <x:v>20590</x:v>
      </x:c>
      <x:c r="L275" s="31" t="n">
        <x:v>243800</x:v>
      </x:c>
    </x:row>
    <x:row r="276" ht="13" hidden="0">
      <x:c r="A276" s="28" t="n">
        <x:v>223</x:v>
      </x:c>
      <x:c r="B276" s="29" t="n">
        <x:v>713000</x:v>
      </x:c>
      <x:c r="C276" s="30" t="n">
        <x:v>716000</x:v>
      </x:c>
      <x:c r="D276" s="30" t="n">
        <x:v>66480</x:v>
      </x:c>
      <x:c r="E276" s="30" t="n">
        <x:v>60000</x:v>
      </x:c>
      <x:c r="F276" s="30" t="n">
        <x:v>53540</x:v>
      </x:c>
      <x:c r="G276" s="30" t="n">
        <x:v>47080</x:v>
      </x:c>
      <x:c r="H276" s="30" t="n">
        <x:v>40610</x:v>
      </x:c>
      <x:c r="I276" s="30" t="n">
        <x:v>34140</x:v>
      </x:c>
      <x:c r="J276" s="30" t="n">
        <x:v>27680</x:v>
      </x:c>
      <x:c r="K276" s="30" t="n">
        <x:v>21210</x:v>
      </x:c>
      <x:c r="L276" s="31" t="n">
        <x:v>245300</x:v>
      </x:c>
    </x:row>
    <x:row r="277" ht="13" hidden="0">
      <x:c r="A277" s="28" t="n">
        <x:v>224</x:v>
      </x:c>
      <x:c r="B277" s="29" t="n">
        <x:v>716000</x:v>
      </x:c>
      <x:c r="C277" s="30" t="n">
        <x:v>719000</x:v>
      </x:c>
      <x:c r="D277" s="30" t="n">
        <x:v>67090</x:v>
      </x:c>
      <x:c r="E277" s="30" t="n">
        <x:v>60620</x:v>
      </x:c>
      <x:c r="F277" s="30" t="n">
        <x:v>54150</x:v>
      </x:c>
      <x:c r="G277" s="30" t="n">
        <x:v>47690</x:v>
      </x:c>
      <x:c r="H277" s="30" t="n">
        <x:v>41220</x:v>
      </x:c>
      <x:c r="I277" s="30" t="n">
        <x:v>34750</x:v>
      </x:c>
      <x:c r="J277" s="30" t="n">
        <x:v>28290</x:v>
      </x:c>
      <x:c r="K277" s="30" t="n">
        <x:v>21820</x:v>
      </x:c>
      <x:c r="L277" s="31" t="n">
        <x:v>246900</x:v>
      </x:c>
    </x:row>
    <x:row r="278" ht="13" hidden="0">
      <x:c r="A278" s="28" t="n">
        <x:v>225</x:v>
      </x:c>
      <x:c r="B278" s="29" t="n">
        <x:v>719000</x:v>
      </x:c>
      <x:c r="C278" s="30" t="n">
        <x:v>722000</x:v>
      </x:c>
      <x:c r="D278" s="30" t="n">
        <x:v>67700</x:v>
      </x:c>
      <x:c r="E278" s="30" t="n">
        <x:v>61230</x:v>
      </x:c>
      <x:c r="F278" s="30" t="n">
        <x:v>54770</x:v>
      </x:c>
      <x:c r="G278" s="30" t="n">
        <x:v>48300</x:v>
      </x:c>
      <x:c r="H278" s="30" t="n">
        <x:v>41830</x:v>
      </x:c>
      <x:c r="I278" s="30" t="n">
        <x:v>35370</x:v>
      </x:c>
      <x:c r="J278" s="30" t="n">
        <x:v>28900</x:v>
      </x:c>
      <x:c r="K278" s="30" t="n">
        <x:v>22430</x:v>
      </x:c>
      <x:c r="L278" s="31" t="n">
        <x:v>248400</x:v>
      </x:c>
    </x:row>
    <x:row r="279" ht="13" hidden="0">
      <x:c r="A279" s="28"/>
      <x:c r="B279" s="29"/>
      <x:c r="C279" s="30"/>
      <x:c r="D279" s="30"/>
      <x:c r="E279" s="30"/>
      <x:c r="F279" s="30"/>
      <x:c r="G279" s="30"/>
      <x:c r="H279" s="30"/>
      <x:c r="I279" s="30"/>
      <x:c r="J279" s="30"/>
      <x:c r="K279" s="30"/>
      <x:c r="L279" s="31"/>
    </x:row>
    <x:row r="280" ht="13" hidden="0">
      <x:c r="A280" s="28" t="n">
        <x:v>226</x:v>
      </x:c>
      <x:c r="B280" s="29" t="n">
        <x:v>722000</x:v>
      </x:c>
      <x:c r="C280" s="30" t="n">
        <x:v>725000</x:v>
      </x:c>
      <x:c r="D280" s="30" t="n">
        <x:v>68320</x:v>
      </x:c>
      <x:c r="E280" s="30" t="n">
        <x:v>61840</x:v>
      </x:c>
      <x:c r="F280" s="30" t="n">
        <x:v>55380</x:v>
      </x:c>
      <x:c r="G280" s="30" t="n">
        <x:v>48920</x:v>
      </x:c>
      <x:c r="H280" s="30" t="n">
        <x:v>42440</x:v>
      </x:c>
      <x:c r="I280" s="30" t="n">
        <x:v>35980</x:v>
      </x:c>
      <x:c r="J280" s="30" t="n">
        <x:v>29520</x:v>
      </x:c>
      <x:c r="K280" s="30" t="n">
        <x:v>23040</x:v>
      </x:c>
      <x:c r="L280" s="31" t="n">
        <x:v>250000</x:v>
      </x:c>
    </x:row>
    <x:row r="281" ht="13" hidden="0">
      <x:c r="A281" s="28" t="n">
        <x:v>227</x:v>
      </x:c>
      <x:c r="B281" s="29" t="n">
        <x:v>725000</x:v>
      </x:c>
      <x:c r="C281" s="30" t="n">
        <x:v>728000</x:v>
      </x:c>
      <x:c r="D281" s="30" t="n">
        <x:v>68930</x:v>
      </x:c>
      <x:c r="E281" s="30" t="n">
        <x:v>62450</x:v>
      </x:c>
      <x:c r="F281" s="30" t="n">
        <x:v>55990</x:v>
      </x:c>
      <x:c r="G281" s="30" t="n">
        <x:v>49530</x:v>
      </x:c>
      <x:c r="H281" s="30" t="n">
        <x:v>43060</x:v>
      </x:c>
      <x:c r="I281" s="30" t="n">
        <x:v>36590</x:v>
      </x:c>
      <x:c r="J281" s="30" t="n">
        <x:v>30130</x:v>
      </x:c>
      <x:c r="K281" s="30" t="n">
        <x:v>23660</x:v>
      </x:c>
      <x:c r="L281" s="31" t="n">
        <x:v>251600</x:v>
      </x:c>
    </x:row>
    <x:row r="282" ht="13" hidden="0">
      <x:c r="A282" s="28" t="n">
        <x:v>228</x:v>
      </x:c>
      <x:c r="B282" s="29" t="n">
        <x:v>728000</x:v>
      </x:c>
      <x:c r="C282" s="30" t="n">
        <x:v>731000</x:v>
      </x:c>
      <x:c r="D282" s="30" t="n">
        <x:v>69540</x:v>
      </x:c>
      <x:c r="E282" s="30" t="n">
        <x:v>63070</x:v>
      </x:c>
      <x:c r="F282" s="30" t="n">
        <x:v>56600</x:v>
      </x:c>
      <x:c r="G282" s="30" t="n">
        <x:v>50140</x:v>
      </x:c>
      <x:c r="H282" s="30" t="n">
        <x:v>43670</x:v>
      </x:c>
      <x:c r="I282" s="30" t="n">
        <x:v>37210</x:v>
      </x:c>
      <x:c r="J282" s="30" t="n">
        <x:v>30740</x:v>
      </x:c>
      <x:c r="K282" s="30" t="n">
        <x:v>24270</x:v>
      </x:c>
      <x:c r="L282" s="31" t="n">
        <x:v>253100</x:v>
      </x:c>
    </x:row>
    <x:row r="283" ht="13" hidden="0">
      <x:c r="A283" s="28" t="n">
        <x:v>229</x:v>
      </x:c>
      <x:c r="B283" s="29" t="n">
        <x:v>731000</x:v>
      </x:c>
      <x:c r="C283" s="30" t="n">
        <x:v>734000</x:v>
      </x:c>
      <x:c r="D283" s="30" t="n">
        <x:v>70150</x:v>
      </x:c>
      <x:c r="E283" s="30" t="n">
        <x:v>63680</x:v>
      </x:c>
      <x:c r="F283" s="30" t="n">
        <x:v>57220</x:v>
      </x:c>
      <x:c r="G283" s="30" t="n">
        <x:v>50750</x:v>
      </x:c>
      <x:c r="H283" s="30" t="n">
        <x:v>44280</x:v>
      </x:c>
      <x:c r="I283" s="30" t="n">
        <x:v>37820</x:v>
      </x:c>
      <x:c r="J283" s="30" t="n">
        <x:v>31350</x:v>
      </x:c>
      <x:c r="K283" s="30" t="n">
        <x:v>24880</x:v>
      </x:c>
      <x:c r="L283" s="31" t="n">
        <x:v>254600</x:v>
      </x:c>
    </x:row>
    <x:row r="284" ht="13" hidden="0">
      <x:c r="A284" s="28" t="n">
        <x:v>230</x:v>
      </x:c>
      <x:c r="B284" s="29" t="n">
        <x:v>734000</x:v>
      </x:c>
      <x:c r="C284" s="30" t="n">
        <x:v>737000</x:v>
      </x:c>
      <x:c r="D284" s="30" t="n">
        <x:v>70770</x:v>
      </x:c>
      <x:c r="E284" s="30" t="n">
        <x:v>64290</x:v>
      </x:c>
      <x:c r="F284" s="30" t="n">
        <x:v>57830</x:v>
      </x:c>
      <x:c r="G284" s="30" t="n">
        <x:v>51370</x:v>
      </x:c>
      <x:c r="H284" s="30" t="n">
        <x:v>44890</x:v>
      </x:c>
      <x:c r="I284" s="30" t="n">
        <x:v>38430</x:v>
      </x:c>
      <x:c r="J284" s="30" t="n">
        <x:v>31970</x:v>
      </x:c>
      <x:c r="K284" s="30" t="n">
        <x:v>25490</x:v>
      </x:c>
      <x:c r="L284" s="31" t="n">
        <x:v>256200</x:v>
      </x:c>
    </x:row>
    <x:row r="285" ht="13" hidden="0">
      <x:c r="A285" s="28"/>
      <x:c r="B285" s="29"/>
      <x:c r="C285" s="30"/>
      <x:c r="D285" s="30"/>
      <x:c r="E285" s="30"/>
      <x:c r="F285" s="30"/>
      <x:c r="G285" s="30"/>
      <x:c r="H285" s="30"/>
      <x:c r="I285" s="30"/>
      <x:c r="J285" s="30"/>
      <x:c r="K285" s="30"/>
      <x:c r="L285" s="31"/>
    </x:row>
    <x:row r="286" ht="13" hidden="0">
      <x:c r="A286" s="28" t="n">
        <x:v>231</x:v>
      </x:c>
      <x:c r="B286" s="29" t="n">
        <x:v>737000</x:v>
      </x:c>
      <x:c r="C286" s="30" t="n">
        <x:v>740000</x:v>
      </x:c>
      <x:c r="D286" s="30" t="n">
        <x:v>71380</x:v>
      </x:c>
      <x:c r="E286" s="30" t="n">
        <x:v>64900</x:v>
      </x:c>
      <x:c r="F286" s="30" t="n">
        <x:v>58440</x:v>
      </x:c>
      <x:c r="G286" s="30" t="n">
        <x:v>51980</x:v>
      </x:c>
      <x:c r="H286" s="30" t="n">
        <x:v>45510</x:v>
      </x:c>
      <x:c r="I286" s="30" t="n">
        <x:v>39040</x:v>
      </x:c>
      <x:c r="J286" s="30" t="n">
        <x:v>32580</x:v>
      </x:c>
      <x:c r="K286" s="30" t="n">
        <x:v>26110</x:v>
      </x:c>
      <x:c r="L286" s="31" t="n">
        <x:v>257700</x:v>
      </x:c>
    </x:row>
    <x:row r="287" ht="13" hidden="0">
      <x:c r="A287" s="28"/>
      <x:c r="B287" s="38"/>
      <x:c r="C287" s="39"/>
      <x:c r="D287" s="39"/>
      <x:c r="E287" s="39"/>
      <x:c r="F287" s="39"/>
      <x:c r="G287" s="39"/>
      <x:c r="H287" s="39"/>
      <x:c r="I287" s="39"/>
      <x:c r="J287" s="39"/>
      <x:c r="K287" s="39"/>
      <x:c r="L287" s="40"/>
    </x:row>
    <x:row r="288" ht="13" hidden="0" customHeight="1">
      <x:c r="A288" s="28"/>
      <x:c r="B288" s="41"/>
      <x:c r="C288" s="42"/>
      <x:c r="D288" s="43"/>
      <x:c r="E288" s="43"/>
      <x:c r="F288" s="43"/>
      <x:c r="G288" s="43"/>
      <x:c r="H288" s="43"/>
      <x:c r="I288" s="43"/>
      <x:c r="J288" s="43"/>
      <x:c r="K288" s="43"/>
      <x:c r="L288" s="44"/>
    </x:row>
    <x:row r="289" ht="13" hidden="0" customHeight="1">
      <x:c r="A289" s="28"/>
      <x:c r="B289" s="45" t="s">
        <x:v>24</x:v>
      </x:c>
      <x:c r="C289" s="45"/>
      <x:c r="D289" s="46" t="n">
        <x:v>71680</x:v>
      </x:c>
      <x:c r="E289" s="46" t="n">
        <x:v>65210</x:v>
      </x:c>
      <x:c r="F289" s="46" t="n">
        <x:v>58750</x:v>
      </x:c>
      <x:c r="G289" s="46" t="n">
        <x:v>52290</x:v>
      </x:c>
      <x:c r="H289" s="46" t="n">
        <x:v>45810</x:v>
      </x:c>
      <x:c r="I289" s="46" t="n">
        <x:v>39350</x:v>
      </x:c>
      <x:c r="J289" s="46" t="n">
        <x:v>32890</x:v>
      </x:c>
      <x:c r="K289" s="46" t="n">
        <x:v>26410</x:v>
      </x:c>
      <x:c r="L289" s="40" t="n">
        <x:v>259200</x:v>
      </x:c>
    </x:row>
    <x:row r="290" ht="13" hidden="0" customHeight="1">
      <x:c r="A290" s="28"/>
      <x:c r="B290" s="47"/>
      <x:c r="C290" s="48"/>
      <x:c r="D290" s="49"/>
      <x:c r="E290" s="49"/>
      <x:c r="F290" s="49"/>
      <x:c r="G290" s="49"/>
      <x:c r="H290" s="49"/>
      <x:c r="I290" s="49"/>
      <x:c r="J290" s="49"/>
      <x:c r="K290" s="49"/>
      <x:c r="L290" s="50"/>
    </x:row>
    <x:row r="291" ht="13" hidden="0" customHeight="1">
      <x:c r="A291" s="28"/>
      <x:c r="B291" s="41"/>
      <x:c r="C291" s="42"/>
      <x:c r="D291" s="51"/>
      <x:c r="E291" s="52"/>
      <x:c r="F291" s="52"/>
      <x:c r="G291" s="52"/>
      <x:c r="H291" s="52"/>
      <x:c r="I291" s="52"/>
      <x:c r="J291" s="52"/>
      <x:c r="K291" s="53"/>
      <x:c r="L291" s="54" t="s">
        <x:v>25</x:v>
      </x:c>
    </x:row>
    <x:row r="292" ht="13" hidden="0" customHeight="1">
      <x:c r="A292" s="33"/>
      <x:c r="B292" s="55"/>
      <x:c r="C292" s="56"/>
      <x:c r="D292" s="57"/>
      <x:c r="E292" s="58"/>
      <x:c r="F292" s="58"/>
      <x:c r="G292" s="58"/>
      <x:c r="H292" s="58"/>
      <x:c r="I292" s="58"/>
      <x:c r="J292" s="58"/>
      <x:c r="K292" s="42"/>
      <x:c r="L292" s="54"/>
    </x:row>
    <x:row r="293" ht="13" hidden="0" customHeight="1">
      <x:c r="A293" s="33"/>
      <x:c r="B293" s="59" t="s">
        <x:v>26</x:v>
      </x:c>
      <x:c r="C293" s="42"/>
      <x:c r="E293" s="60"/>
      <x:c r="F293" s="60"/>
      <x:c r="G293" s="60"/>
      <x:c r="H293" s="60"/>
      <x:c r="I293" s="60"/>
      <x:c r="J293" s="60"/>
      <x:c r="K293" s="56"/>
      <x:c r="L293" s="54"/>
    </x:row>
    <x:row r="294" ht="13" hidden="0" customHeight="1">
      <x:c r="A294" s="33"/>
      <x:c r="B294" s="55"/>
      <x:c r="C294" s="56"/>
      <x:c r="D294" s="61" t="s">
        <x:v>27</x:v>
      </x:c>
      <x:c r="E294" s="58"/>
      <x:c r="F294" s="58"/>
      <x:c r="G294" s="58"/>
      <x:c r="H294" s="58"/>
      <x:c r="I294" s="58"/>
      <x:c r="J294" s="58"/>
      <x:c r="K294" s="42"/>
      <x:c r="L294" s="54"/>
    </x:row>
    <x:row r="295" ht="13" hidden="0" customHeight="1">
      <x:c r="A295" s="28"/>
      <x:c r="B295" s="41"/>
      <x:c r="C295" s="42"/>
      <x:c r="E295" s="60"/>
      <x:c r="F295" s="60"/>
      <x:c r="G295" s="60"/>
      <x:c r="H295" s="60"/>
      <x:c r="I295" s="60"/>
      <x:c r="J295" s="60"/>
      <x:c r="K295" s="56"/>
      <x:c r="L295" s="54"/>
    </x:row>
    <x:row r="296" ht="13" hidden="0" customHeight="1">
      <x:c r="A296" s="28"/>
      <x:c r="B296" s="59" t="s">
        <x:v>28</x:v>
      </x:c>
      <x:c r="C296" s="56"/>
      <x:c r="D296" s="57"/>
      <x:c r="E296" s="58"/>
      <x:c r="F296" s="58"/>
      <x:c r="G296" s="58"/>
      <x:c r="H296" s="58"/>
      <x:c r="I296" s="58"/>
      <x:c r="J296" s="58"/>
      <x:c r="K296" s="42"/>
      <x:c r="L296" s="54"/>
    </x:row>
    <x:row r="297" ht="13" hidden="0" customHeight="1">
      <x:c r="A297" s="28"/>
      <x:c r="B297" s="59"/>
      <x:c r="C297" s="56"/>
      <x:c r="D297" s="61" t="s">
        <x:v>29</x:v>
      </x:c>
      <x:c r="E297" s="58"/>
      <x:c r="F297" s="58"/>
      <x:c r="G297" s="58"/>
      <x:c r="H297" s="58"/>
      <x:c r="I297" s="58"/>
      <x:c r="J297" s="58"/>
      <x:c r="K297" s="42"/>
      <x:c r="L297" s="54"/>
    </x:row>
    <x:row r="298" ht="13" hidden="0" customHeight="1">
      <x:c r="A298" s="28"/>
      <x:c r="B298" s="62" t="s">
        <x:v>30</x:v>
      </x:c>
      <x:c r="C298" s="56"/>
      <x:c r="D298" s="57"/>
      <x:c r="E298" s="58"/>
      <x:c r="F298" s="58"/>
      <x:c r="G298" s="58"/>
      <x:c r="H298" s="58"/>
      <x:c r="I298" s="58"/>
      <x:c r="J298" s="58"/>
      <x:c r="K298" s="42"/>
      <x:c r="L298" s="54"/>
    </x:row>
    <x:row r="299" ht="13" hidden="0" customHeight="1">
      <x:c r="A299" s="28"/>
      <x:c r="B299" s="59"/>
      <x:c r="C299" s="56"/>
      <x:c r="D299" s="57"/>
      <x:c r="E299" s="58"/>
      <x:c r="F299" s="58"/>
      <x:c r="G299" s="58"/>
      <x:c r="H299" s="58"/>
      <x:c r="I299" s="58"/>
      <x:c r="J299" s="58"/>
      <x:c r="K299" s="42"/>
      <x:c r="L299" s="54"/>
    </x:row>
    <x:row r="300" ht="13" hidden="0" customHeight="1">
      <x:c r="A300" s="28"/>
      <x:c r="B300" s="63"/>
      <x:c r="C300" s="64"/>
      <x:c r="D300" s="65"/>
      <x:c r="E300" s="48"/>
      <x:c r="F300" s="48"/>
      <x:c r="G300" s="48"/>
      <x:c r="H300" s="48"/>
      <x:c r="I300" s="48"/>
      <x:c r="J300" s="48"/>
      <x:c r="K300" s="66"/>
      <x:c r="L300" s="54"/>
    </x:row>
    <x:row r="301" ht="13" hidden="0" customHeight="1">
      <x:c r="A301" s="28"/>
      <x:c r="B301" s="67" t="s">
        <x:v>31</x:v>
      </x:c>
      <x:c r="C301" s="67"/>
      <x:c r="D301" s="43"/>
      <x:c r="E301" s="43"/>
      <x:c r="F301" s="43"/>
      <x:c r="G301" s="43"/>
      <x:c r="H301" s="43"/>
      <x:c r="I301" s="43"/>
      <x:c r="J301" s="43"/>
      <x:c r="K301" s="43"/>
      <x:c r="L301" s="68" t="s">
        <x:v>32</x:v>
      </x:c>
    </x:row>
    <x:row r="302" ht="13" hidden="0" customHeight="1">
      <x:c r="A302" s="28"/>
      <x:c r="B302" s="69" t="s">
        <x:v>33</x:v>
      </x:c>
      <x:c r="C302" s="69"/>
      <x:c r="D302" s="70" t="n">
        <x:v>81890</x:v>
      </x:c>
      <x:c r="E302" s="70" t="n">
        <x:v>75420</x:v>
      </x:c>
      <x:c r="F302" s="70" t="n">
        <x:v>68960</x:v>
      </x:c>
      <x:c r="G302" s="70" t="n">
        <x:v>62500</x:v>
      </x:c>
      <x:c r="H302" s="70" t="n">
        <x:v>56020</x:v>
      </x:c>
      <x:c r="I302" s="70" t="n">
        <x:v>49560</x:v>
      </x:c>
      <x:c r="J302" s="70" t="n">
        <x:v>43100</x:v>
      </x:c>
      <x:c r="K302" s="70" t="n">
        <x:v>36620</x:v>
      </x:c>
      <x:c r="L302" s="68"/>
    </x:row>
    <x:row r="303" ht="13" hidden="0" customHeight="1">
      <x:c r="A303" s="28"/>
      <x:c r="B303" s="41"/>
      <x:c r="C303" s="42"/>
      <x:c r="D303" s="51"/>
      <x:c r="E303" s="52"/>
      <x:c r="F303" s="52"/>
      <x:c r="G303" s="52"/>
      <x:c r="H303" s="52"/>
      <x:c r="I303" s="52"/>
      <x:c r="J303" s="52"/>
      <x:c r="K303" s="53"/>
      <x:c r="L303" s="68"/>
    </x:row>
    <x:row r="304" ht="13" hidden="0" customHeight="1">
      <x:c r="A304" s="28"/>
      <x:c r="B304" s="59" t="s">
        <x:v>34</x:v>
      </x:c>
      <x:c r="C304" s="56"/>
      <x:c r="D304" s="57"/>
      <x:c r="E304" s="58"/>
      <x:c r="F304" s="58"/>
      <x:c r="G304" s="58"/>
      <x:c r="H304" s="58"/>
      <x:c r="I304" s="58"/>
      <x:c r="J304" s="58"/>
      <x:c r="K304" s="42"/>
      <x:c r="L304" s="68"/>
    </x:row>
    <x:row r="305" ht="13" hidden="0" customHeight="1">
      <x:c r="A305" s="28"/>
      <x:c r="B305" s="41"/>
      <x:c r="C305" s="42"/>
      <x:c r="D305" s="61" t="s">
        <x:v>35</x:v>
      </x:c>
      <x:c r="E305" s="60"/>
      <x:c r="F305" s="60"/>
      <x:c r="G305" s="60"/>
      <x:c r="H305" s="60"/>
      <x:c r="I305" s="60"/>
      <x:c r="J305" s="60"/>
      <x:c r="K305" s="56"/>
      <x:c r="L305" s="68"/>
    </x:row>
    <x:row r="306" ht="13" hidden="0" customHeight="1">
      <x:c r="A306" s="28"/>
      <x:c r="B306" s="59" t="s">
        <x:v>36</x:v>
      </x:c>
      <x:c r="C306" s="56"/>
      <x:c r="D306" s="57"/>
      <x:c r="E306" s="58"/>
      <x:c r="F306" s="58"/>
      <x:c r="G306" s="58"/>
      <x:c r="H306" s="58"/>
      <x:c r="I306" s="58"/>
      <x:c r="J306" s="58"/>
      <x:c r="K306" s="42"/>
      <x:c r="L306" s="68"/>
    </x:row>
    <x:row r="307" ht="13" hidden="0" customHeight="1">
      <x:c r="A307" s="28"/>
      <x:c r="B307" s="41"/>
      <x:c r="C307" s="42"/>
      <x:c r="D307" s="61" t="s">
        <x:v>37</x:v>
      </x:c>
      <x:c r="E307" s="60"/>
      <x:c r="F307" s="60"/>
      <x:c r="G307" s="60"/>
      <x:c r="H307" s="60"/>
      <x:c r="I307" s="60"/>
      <x:c r="J307" s="60"/>
      <x:c r="K307" s="56"/>
      <x:c r="L307" s="68"/>
    </x:row>
    <x:row r="308" ht="13" hidden="0" customHeight="1">
      <x:c r="A308" s="28"/>
      <x:c r="B308" s="62" t="s">
        <x:v>30</x:v>
      </x:c>
      <x:c r="C308" s="56"/>
      <x:c r="D308" s="57"/>
      <x:c r="E308" s="58"/>
      <x:c r="F308" s="58"/>
      <x:c r="G308" s="58"/>
      <x:c r="H308" s="58"/>
      <x:c r="I308" s="58"/>
      <x:c r="J308" s="58"/>
      <x:c r="K308" s="42"/>
      <x:c r="L308" s="68"/>
    </x:row>
    <x:row r="309" ht="13" hidden="0" customHeight="1">
      <x:c r="A309" s="28"/>
      <x:c r="B309" s="63"/>
      <x:c r="C309" s="64"/>
      <x:c r="D309" s="65"/>
      <x:c r="E309" s="48"/>
      <x:c r="F309" s="48"/>
      <x:c r="G309" s="48"/>
      <x:c r="H309" s="48"/>
      <x:c r="I309" s="48"/>
      <x:c r="J309" s="48"/>
      <x:c r="K309" s="66"/>
      <x:c r="L309" s="68"/>
    </x:row>
    <x:row r="310" ht="13" hidden="0" customHeight="1">
      <x:c r="A310" s="28"/>
      <x:c r="B310" s="71" t="s">
        <x:v>31</x:v>
      </x:c>
      <x:c r="C310" s="71"/>
      <x:c r="D310" s="72" t="s">
        <x:v>21</x:v>
      </x:c>
      <x:c r="E310" s="72" t="s">
        <x:v>21</x:v>
      </x:c>
      <x:c r="F310" s="72" t="s">
        <x:v>21</x:v>
      </x:c>
      <x:c r="G310" s="72" t="s">
        <x:v>21</x:v>
      </x:c>
      <x:c r="H310" s="72" t="s">
        <x:v>21</x:v>
      </x:c>
      <x:c r="I310" s="72" t="s">
        <x:v>21</x:v>
      </x:c>
      <x:c r="J310" s="72" t="s">
        <x:v>21</x:v>
      </x:c>
      <x:c r="K310" s="72" t="s">
        <x:v>21</x:v>
      </x:c>
      <x:c r="L310" s="68"/>
    </x:row>
    <x:row r="311" ht="13" hidden="0" customHeight="1">
      <x:c r="A311" s="28"/>
      <x:c r="B311" s="69" t="s">
        <x:v>38</x:v>
      </x:c>
      <x:c r="C311" s="69"/>
      <x:c r="D311" s="70" t="n">
        <x:v>121820</x:v>
      </x:c>
      <x:c r="E311" s="70" t="n">
        <x:v>115340</x:v>
      </x:c>
      <x:c r="F311" s="70" t="n">
        <x:v>108880</x:v>
      </x:c>
      <x:c r="G311" s="70" t="n">
        <x:v>102420</x:v>
      </x:c>
      <x:c r="H311" s="70" t="n">
        <x:v>95940</x:v>
      </x:c>
      <x:c r="I311" s="70" t="n">
        <x:v>89480</x:v>
      </x:c>
      <x:c r="J311" s="70" t="n">
        <x:v>83020</x:v>
      </x:c>
      <x:c r="K311" s="70" t="n">
        <x:v>76540</x:v>
      </x:c>
      <x:c r="L311" s="68"/>
    </x:row>
    <x:row r="312" ht="13" hidden="0" customHeight="1">
      <x:c r="A312" s="28"/>
      <x:c r="B312" s="41"/>
      <x:c r="C312" s="42"/>
      <x:c r="D312" s="51"/>
      <x:c r="E312" s="52"/>
      <x:c r="F312" s="52"/>
      <x:c r="G312" s="52"/>
      <x:c r="H312" s="52"/>
      <x:c r="I312" s="52"/>
      <x:c r="J312" s="52"/>
      <x:c r="K312" s="53"/>
      <x:c r="L312" s="68"/>
    </x:row>
    <x:row r="313" ht="13" hidden="0" customHeight="1">
      <x:c r="A313" s="28"/>
      <x:c r="B313" s="59" t="s">
        <x:v>39</x:v>
      </x:c>
      <x:c r="C313" s="56"/>
      <x:c r="D313" s="57"/>
      <x:c r="E313" s="58"/>
      <x:c r="F313" s="58"/>
      <x:c r="G313" s="58"/>
      <x:c r="H313" s="58"/>
      <x:c r="I313" s="58"/>
      <x:c r="J313" s="58"/>
      <x:c r="K313" s="42"/>
      <x:c r="L313" s="68"/>
    </x:row>
    <x:row r="314" ht="13" hidden="0" customHeight="1">
      <x:c r="A314" s="28"/>
      <x:c r="B314" s="41"/>
      <x:c r="C314" s="42"/>
      <x:c r="D314" s="61" t="s">
        <x:v>40</x:v>
      </x:c>
      <x:c r="E314" s="60"/>
      <x:c r="F314" s="60"/>
      <x:c r="G314" s="60"/>
      <x:c r="H314" s="60"/>
      <x:c r="I314" s="60"/>
      <x:c r="J314" s="60"/>
      <x:c r="K314" s="56"/>
      <x:c r="L314" s="68"/>
    </x:row>
    <x:row r="315" ht="13" hidden="0" customHeight="1">
      <x:c r="A315" s="28"/>
      <x:c r="B315" s="59" t="s">
        <x:v>41</x:v>
      </x:c>
      <x:c r="C315" s="56"/>
      <x:c r="D315" s="57"/>
      <x:c r="E315" s="58"/>
      <x:c r="F315" s="58"/>
      <x:c r="G315" s="58"/>
      <x:c r="H315" s="58"/>
      <x:c r="I315" s="58"/>
      <x:c r="J315" s="58"/>
      <x:c r="K315" s="42"/>
      <x:c r="L315" s="68"/>
    </x:row>
    <x:row r="316" ht="13" hidden="0" customHeight="1">
      <x:c r="A316" s="28"/>
      <x:c r="B316" s="41"/>
      <x:c r="C316" s="42"/>
      <x:c r="D316" s="61" t="s">
        <x:v>42</x:v>
      </x:c>
      <x:c r="E316" s="60"/>
      <x:c r="F316" s="60"/>
      <x:c r="G316" s="60"/>
      <x:c r="H316" s="60"/>
      <x:c r="I316" s="60"/>
      <x:c r="J316" s="60"/>
      <x:c r="K316" s="56"/>
      <x:c r="L316" s="68"/>
    </x:row>
    <x:row r="317" ht="13" hidden="0" customHeight="1">
      <x:c r="A317" s="28"/>
      <x:c r="B317" s="62" t="s">
        <x:v>30</x:v>
      </x:c>
      <x:c r="C317" s="56"/>
      <x:c r="D317" s="57"/>
      <x:c r="E317" s="58"/>
      <x:c r="F317" s="58"/>
      <x:c r="G317" s="58"/>
      <x:c r="H317" s="58"/>
      <x:c r="I317" s="58"/>
      <x:c r="J317" s="58"/>
      <x:c r="K317" s="42"/>
      <x:c r="L317" s="68"/>
    </x:row>
    <x:row r="318" ht="13" hidden="0" customHeight="1">
      <x:c r="A318" s="28"/>
      <x:c r="B318" s="63"/>
      <x:c r="C318" s="64"/>
      <x:c r="D318" s="65"/>
      <x:c r="E318" s="48"/>
      <x:c r="F318" s="48"/>
      <x:c r="G318" s="48"/>
      <x:c r="H318" s="48"/>
      <x:c r="I318" s="48"/>
      <x:c r="J318" s="48"/>
      <x:c r="K318" s="66"/>
      <x:c r="L318" s="68"/>
    </x:row>
    <x:row r="319" ht="13" hidden="0" customHeight="1">
      <x:c r="A319" s="28"/>
      <x:c r="B319" s="71" t="s">
        <x:v>31</x:v>
      </x:c>
      <x:c r="C319" s="71"/>
      <x:c r="D319" s="72" t="s">
        <x:v>21</x:v>
      </x:c>
      <x:c r="E319" s="72" t="s">
        <x:v>21</x:v>
      </x:c>
      <x:c r="F319" s="72" t="s">
        <x:v>21</x:v>
      </x:c>
      <x:c r="G319" s="72" t="s">
        <x:v>21</x:v>
      </x:c>
      <x:c r="H319" s="72" t="s">
        <x:v>21</x:v>
      </x:c>
      <x:c r="I319" s="72" t="s">
        <x:v>21</x:v>
      </x:c>
      <x:c r="J319" s="72" t="s">
        <x:v>21</x:v>
      </x:c>
      <x:c r="K319" s="72" t="s">
        <x:v>21</x:v>
      </x:c>
      <x:c r="L319" s="73" t="s">
        <x:v>21</x:v>
      </x:c>
    </x:row>
    <x:row r="320" ht="13" hidden="0" customHeight="1">
      <x:c r="A320" s="28"/>
      <x:c r="B320" s="69" t="s">
        <x:v>43</x:v>
      </x:c>
      <x:c r="C320" s="69"/>
      <x:c r="D320" s="70" t="n">
        <x:v>374520</x:v>
      </x:c>
      <x:c r="E320" s="70" t="n">
        <x:v>368040</x:v>
      </x:c>
      <x:c r="F320" s="70" t="n">
        <x:v>361580</x:v>
      </x:c>
      <x:c r="G320" s="70" t="n">
        <x:v>355120</x:v>
      </x:c>
      <x:c r="H320" s="70" t="n">
        <x:v>348640</x:v>
      </x:c>
      <x:c r="I320" s="70" t="n">
        <x:v>342180</x:v>
      </x:c>
      <x:c r="J320" s="70" t="n">
        <x:v>335720</x:v>
      </x:c>
      <x:c r="K320" s="70" t="n">
        <x:v>329240</x:v>
      </x:c>
      <x:c r="L320" s="74" t="n">
        <x:v>655400</x:v>
      </x:c>
    </x:row>
    <x:row r="321" ht="13" hidden="0" customHeight="1">
      <x:c r="A321" s="28"/>
      <x:c r="B321" s="75"/>
      <x:c r="C321" s="76"/>
      <x:c r="D321" s="77"/>
      <x:c r="E321" s="78"/>
      <x:c r="F321" s="78"/>
      <x:c r="G321" s="78"/>
      <x:c r="H321" s="78"/>
      <x:c r="I321" s="78"/>
      <x:c r="J321" s="78"/>
      <x:c r="K321" s="79"/>
      <x:c r="L321" s="80" t="s">
        <x:v>44</x:v>
      </x:c>
    </x:row>
    <x:row r="322" ht="13" hidden="0" customHeight="1">
      <x:c r="A322" s="28"/>
      <x:c r="B322" s="59" t="s">
        <x:v>45</x:v>
      </x:c>
      <x:c r="C322" s="56"/>
      <x:c r="D322" s="57"/>
      <x:c r="E322" s="58"/>
      <x:c r="F322" s="58"/>
      <x:c r="G322" s="58"/>
      <x:c r="H322" s="58"/>
      <x:c r="I322" s="58"/>
      <x:c r="J322" s="58"/>
      <x:c r="K322" s="42"/>
      <x:c r="L322" s="80"/>
    </x:row>
    <x:row r="323" ht="13" hidden="0" customHeight="1">
      <x:c r="A323" s="28"/>
      <x:c r="B323" s="41"/>
      <x:c r="C323" s="42"/>
      <x:c r="D323" s="61" t="s">
        <x:v>46</x:v>
      </x:c>
      <x:c r="E323" s="60"/>
      <x:c r="F323" s="60"/>
      <x:c r="G323" s="60"/>
      <x:c r="H323" s="60"/>
      <x:c r="I323" s="60"/>
      <x:c r="J323" s="60"/>
      <x:c r="K323" s="56"/>
      <x:c r="L323" s="80"/>
    </x:row>
    <x:row r="324" ht="13" hidden="0" customHeight="1">
      <x:c r="A324" s="28"/>
      <x:c r="B324" s="59" t="s">
        <x:v>47</x:v>
      </x:c>
      <x:c r="C324" s="56"/>
      <x:c r="D324" s="57"/>
      <x:c r="E324" s="58"/>
      <x:c r="F324" s="58"/>
      <x:c r="G324" s="58"/>
      <x:c r="H324" s="58"/>
      <x:c r="I324" s="58"/>
      <x:c r="J324" s="58"/>
      <x:c r="K324" s="42"/>
      <x:c r="L324" s="80"/>
    </x:row>
    <x:row r="325" ht="13" hidden="0" customHeight="1">
      <x:c r="A325" s="28"/>
      <x:c r="B325" s="41"/>
      <x:c r="C325" s="42"/>
      <x:c r="D325" s="61" t="s">
        <x:v>48</x:v>
      </x:c>
      <x:c r="E325" s="60"/>
      <x:c r="F325" s="60"/>
      <x:c r="G325" s="60"/>
      <x:c r="H325" s="60"/>
      <x:c r="I325" s="60"/>
      <x:c r="J325" s="60"/>
      <x:c r="K325" s="56"/>
      <x:c r="L325" s="80"/>
    </x:row>
    <x:row r="326" ht="13" hidden="0" customHeight="1">
      <x:c r="A326" s="28"/>
      <x:c r="B326" s="62" t="s">
        <x:v>30</x:v>
      </x:c>
      <x:c r="C326" s="56"/>
      <x:c r="D326" s="57"/>
      <x:c r="E326" s="58"/>
      <x:c r="F326" s="58"/>
      <x:c r="G326" s="58"/>
      <x:c r="H326" s="58"/>
      <x:c r="I326" s="58"/>
      <x:c r="J326" s="58"/>
      <x:c r="K326" s="42"/>
      <x:c r="L326" s="80"/>
    </x:row>
    <x:row r="327" ht="13" hidden="0" customHeight="1">
      <x:c r="A327" s="28"/>
      <x:c r="B327" s="63"/>
      <x:c r="C327" s="64"/>
      <x:c r="D327" s="65"/>
      <x:c r="E327" s="48"/>
      <x:c r="F327" s="48"/>
      <x:c r="G327" s="48"/>
      <x:c r="H327" s="48"/>
      <x:c r="I327" s="48"/>
      <x:c r="J327" s="48"/>
      <x:c r="K327" s="66"/>
      <x:c r="L327" s="80"/>
    </x:row>
    <x:row r="328" ht="13" hidden="0" customHeight="1">
      <x:c r="A328" s="28"/>
      <x:c r="B328" s="71" t="s">
        <x:v>31</x:v>
      </x:c>
      <x:c r="C328" s="71"/>
      <x:c r="D328" s="72" t="s">
        <x:v>21</x:v>
      </x:c>
      <x:c r="E328" s="72" t="s">
        <x:v>21</x:v>
      </x:c>
      <x:c r="F328" s="72" t="s">
        <x:v>21</x:v>
      </x:c>
      <x:c r="G328" s="72" t="s">
        <x:v>21</x:v>
      </x:c>
      <x:c r="H328" s="72" t="s">
        <x:v>21</x:v>
      </x:c>
      <x:c r="I328" s="72" t="s">
        <x:v>21</x:v>
      </x:c>
      <x:c r="J328" s="72" t="s">
        <x:v>21</x:v>
      </x:c>
      <x:c r="K328" s="72" t="s">
        <x:v>21</x:v>
      </x:c>
      <x:c r="L328" s="80"/>
    </x:row>
    <x:row r="329" ht="13" hidden="0" customHeight="1">
      <x:c r="A329" s="28"/>
      <x:c r="B329" s="69" t="s">
        <x:v>49</x:v>
      </x:c>
      <x:c r="C329" s="69"/>
      <x:c r="D329" s="70" t="n">
        <x:v>549440</x:v>
      </x:c>
      <x:c r="E329" s="70" t="n">
        <x:v>542970</x:v>
      </x:c>
      <x:c r="F329" s="70" t="n">
        <x:v>536500</x:v>
      </x:c>
      <x:c r="G329" s="70" t="n">
        <x:v>530040</x:v>
      </x:c>
      <x:c r="H329" s="70" t="n">
        <x:v>523570</x:v>
      </x:c>
      <x:c r="I329" s="70" t="n">
        <x:v>517110</x:v>
      </x:c>
      <x:c r="J329" s="70" t="n">
        <x:v>510640</x:v>
      </x:c>
      <x:c r="K329" s="70" t="n">
        <x:v>504170</x:v>
      </x:c>
      <x:c r="L329" s="80"/>
    </x:row>
    <x:row r="330" ht="13" hidden="0" customHeight="1">
      <x:c r="A330" s="28"/>
      <x:c r="B330" s="41"/>
      <x:c r="C330" s="42"/>
      <x:c r="D330" s="51"/>
      <x:c r="E330" s="52"/>
      <x:c r="F330" s="52"/>
      <x:c r="G330" s="52"/>
      <x:c r="H330" s="52"/>
      <x:c r="I330" s="52"/>
      <x:c r="J330" s="52"/>
      <x:c r="K330" s="53"/>
      <x:c r="L330" s="80"/>
    </x:row>
    <x:row r="331" ht="13" hidden="0" customHeight="1">
      <x:c r="A331" s="28"/>
      <x:c r="B331" s="59" t="s">
        <x:v>50</x:v>
      </x:c>
      <x:c r="C331" s="56"/>
      <x:c r="D331" s="57"/>
      <x:c r="E331" s="58"/>
      <x:c r="F331" s="58"/>
      <x:c r="G331" s="58"/>
      <x:c r="H331" s="58"/>
      <x:c r="I331" s="58"/>
      <x:c r="J331" s="58"/>
      <x:c r="K331" s="42"/>
      <x:c r="L331" s="80"/>
    </x:row>
    <x:row r="332" ht="13" hidden="0" customHeight="1">
      <x:c r="A332" s="28"/>
      <x:c r="B332" s="41"/>
      <x:c r="C332" s="42"/>
      <x:c r="D332" s="61" t="s">
        <x:v>51</x:v>
      </x:c>
      <x:c r="E332" s="60"/>
      <x:c r="F332" s="60"/>
      <x:c r="G332" s="60"/>
      <x:c r="H332" s="60"/>
      <x:c r="I332" s="60"/>
      <x:c r="J332" s="60"/>
      <x:c r="K332" s="56"/>
      <x:c r="L332" s="80"/>
    </x:row>
    <x:row r="333" ht="13" hidden="0" customHeight="1">
      <x:c r="A333" s="28"/>
      <x:c r="B333" s="59" t="s">
        <x:v>52</x:v>
      </x:c>
      <x:c r="C333" s="56"/>
      <x:c r="D333" s="57"/>
      <x:c r="E333" s="58"/>
      <x:c r="F333" s="58"/>
      <x:c r="G333" s="58"/>
      <x:c r="H333" s="58"/>
      <x:c r="I333" s="58"/>
      <x:c r="J333" s="58"/>
      <x:c r="K333" s="42"/>
      <x:c r="L333" s="80"/>
    </x:row>
    <x:row r="334" ht="13" hidden="0" customHeight="1">
      <x:c r="A334" s="28"/>
      <x:c r="B334" s="41"/>
      <x:c r="C334" s="42"/>
      <x:c r="D334" s="61" t="s">
        <x:v>53</x:v>
      </x:c>
      <x:c r="E334" s="60"/>
      <x:c r="F334" s="60"/>
      <x:c r="G334" s="60"/>
      <x:c r="H334" s="60"/>
      <x:c r="I334" s="60"/>
      <x:c r="J334" s="60"/>
      <x:c r="K334" s="56"/>
      <x:c r="L334" s="80"/>
    </x:row>
    <x:row r="335" ht="13" hidden="0" customHeight="1">
      <x:c r="A335" s="28"/>
      <x:c r="B335" s="62" t="s">
        <x:v>30</x:v>
      </x:c>
      <x:c r="C335" s="56"/>
      <x:c r="D335" s="57"/>
      <x:c r="E335" s="58"/>
      <x:c r="F335" s="58"/>
      <x:c r="G335" s="58"/>
      <x:c r="H335" s="58"/>
      <x:c r="I335" s="58"/>
      <x:c r="J335" s="58"/>
      <x:c r="K335" s="42"/>
      <x:c r="L335" s="80"/>
    </x:row>
    <x:row r="336" ht="13" hidden="0" customHeight="1">
      <x:c r="A336" s="28"/>
      <x:c r="B336" s="63"/>
      <x:c r="C336" s="64"/>
      <x:c r="D336" s="65"/>
      <x:c r="E336" s="48"/>
      <x:c r="F336" s="48"/>
      <x:c r="G336" s="48"/>
      <x:c r="H336" s="48"/>
      <x:c r="I336" s="48"/>
      <x:c r="J336" s="48"/>
      <x:c r="K336" s="66"/>
      <x:c r="L336" s="80"/>
    </x:row>
    <x:row r="337" ht="13" hidden="0" customHeight="1">
      <x:c r="A337" s="28"/>
      <x:c r="B337" s="71" t="s">
        <x:v>31</x:v>
      </x:c>
      <x:c r="C337" s="71"/>
      <x:c r="D337" s="72" t="s">
        <x:v>21</x:v>
      </x:c>
      <x:c r="E337" s="72" t="s">
        <x:v>21</x:v>
      </x:c>
      <x:c r="F337" s="72" t="s">
        <x:v>21</x:v>
      </x:c>
      <x:c r="G337" s="72" t="s">
        <x:v>21</x:v>
      </x:c>
      <x:c r="H337" s="72" t="s">
        <x:v>21</x:v>
      </x:c>
      <x:c r="I337" s="72" t="s">
        <x:v>21</x:v>
      </x:c>
      <x:c r="J337" s="72" t="s">
        <x:v>21</x:v>
      </x:c>
      <x:c r="K337" s="72" t="s">
        <x:v>21</x:v>
      </x:c>
      <x:c r="L337" s="80"/>
    </x:row>
    <x:row r="338" ht="13" hidden="0" customHeight="1">
      <x:c r="A338" s="28"/>
      <x:c r="B338" s="69" t="s">
        <x:v>54</x:v>
      </x:c>
      <x:c r="C338" s="69"/>
      <x:c r="D338" s="70" t="n">
        <x:v>571220</x:v>
      </x:c>
      <x:c r="E338" s="70" t="n">
        <x:v>564750</x:v>
      </x:c>
      <x:c r="F338" s="70" t="n">
        <x:v>558280</x:v>
      </x:c>
      <x:c r="G338" s="70" t="n">
        <x:v>551820</x:v>
      </x:c>
      <x:c r="H338" s="70" t="n">
        <x:v>545350</x:v>
      </x:c>
      <x:c r="I338" s="70" t="n">
        <x:v>538880</x:v>
      </x:c>
      <x:c r="J338" s="70" t="n">
        <x:v>532420</x:v>
      </x:c>
      <x:c r="K338" s="70" t="n">
        <x:v>525950</x:v>
      </x:c>
      <x:c r="L338" s="80"/>
    </x:row>
    <x:row r="339" ht="13" hidden="0" customHeight="1">
      <x:c r="A339" s="28"/>
      <x:c r="B339" s="41"/>
      <x:c r="C339" s="42"/>
      <x:c r="D339" s="51"/>
      <x:c r="E339" s="52"/>
      <x:c r="F339" s="52"/>
      <x:c r="G339" s="52"/>
      <x:c r="H339" s="52"/>
      <x:c r="I339" s="52"/>
      <x:c r="J339" s="52"/>
      <x:c r="K339" s="53"/>
      <x:c r="L339" s="80"/>
    </x:row>
    <x:row r="340" ht="13" hidden="0" customHeight="1">
      <x:c r="A340" s="28"/>
      <x:c r="B340" s="59" t="s">
        <x:v>55</x:v>
      </x:c>
      <x:c r="C340" s="56"/>
      <x:c r="D340" s="57"/>
      <x:c r="E340" s="58"/>
      <x:c r="F340" s="58"/>
      <x:c r="G340" s="58"/>
      <x:c r="H340" s="58"/>
      <x:c r="I340" s="58"/>
      <x:c r="J340" s="58"/>
      <x:c r="K340" s="42"/>
      <x:c r="L340" s="80"/>
    </x:row>
    <x:row r="341" ht="13" hidden="0" customHeight="1">
      <x:c r="A341" s="28"/>
      <x:c r="B341" s="41"/>
      <x:c r="C341" s="42"/>
      <x:c r="D341" s="61" t="s">
        <x:v>56</x:v>
      </x:c>
      <x:c r="E341" s="60"/>
      <x:c r="F341" s="60"/>
      <x:c r="G341" s="60"/>
      <x:c r="H341" s="60"/>
      <x:c r="I341" s="60"/>
      <x:c r="J341" s="60"/>
      <x:c r="K341" s="56"/>
      <x:c r="L341" s="80"/>
    </x:row>
    <x:row r="342" ht="13" hidden="0" customHeight="1">
      <x:c r="A342" s="28"/>
      <x:c r="B342" s="59" t="s">
        <x:v>57</x:v>
      </x:c>
      <x:c r="C342" s="56"/>
      <x:c r="D342" s="57"/>
      <x:c r="E342" s="58"/>
      <x:c r="F342" s="58"/>
      <x:c r="G342" s="58"/>
      <x:c r="H342" s="58"/>
      <x:c r="I342" s="58"/>
      <x:c r="J342" s="58"/>
      <x:c r="K342" s="42"/>
      <x:c r="L342" s="80"/>
    </x:row>
    <x:row r="343" ht="13" hidden="0" customHeight="1">
      <x:c r="A343" s="28"/>
      <x:c r="B343" s="41"/>
      <x:c r="C343" s="42"/>
      <x:c r="D343" s="61" t="s">
        <x:v>58</x:v>
      </x:c>
      <x:c r="E343" s="60"/>
      <x:c r="F343" s="60"/>
      <x:c r="G343" s="60"/>
      <x:c r="H343" s="60"/>
      <x:c r="I343" s="60"/>
      <x:c r="J343" s="60"/>
      <x:c r="K343" s="56"/>
      <x:c r="L343" s="80"/>
    </x:row>
    <x:row r="344" ht="13" hidden="0" customHeight="1">
      <x:c r="A344" s="28"/>
      <x:c r="B344" s="62" t="s">
        <x:v>30</x:v>
      </x:c>
      <x:c r="C344" s="56"/>
      <x:c r="D344" s="57"/>
      <x:c r="E344" s="58"/>
      <x:c r="F344" s="58"/>
      <x:c r="G344" s="58"/>
      <x:c r="H344" s="58"/>
      <x:c r="I344" s="58"/>
      <x:c r="J344" s="58"/>
      <x:c r="K344" s="42"/>
      <x:c r="L344" s="80"/>
    </x:row>
    <x:row r="345" ht="13" hidden="0" customHeight="1">
      <x:c r="A345" s="28"/>
      <x:c r="B345" s="63"/>
      <x:c r="C345" s="64"/>
      <x:c r="D345" s="65"/>
      <x:c r="E345" s="48"/>
      <x:c r="F345" s="48"/>
      <x:c r="G345" s="48"/>
      <x:c r="H345" s="48"/>
      <x:c r="I345" s="48"/>
      <x:c r="J345" s="48"/>
      <x:c r="K345" s="66"/>
      <x:c r="L345" s="80"/>
    </x:row>
    <x:row r="346" ht="13" hidden="0" customHeight="1">
      <x:c r="A346" s="28"/>
      <x:c r="B346" s="71" t="s">
        <x:v>31</x:v>
      </x:c>
      <x:c r="C346" s="71"/>
      <x:c r="D346" s="72" t="s">
        <x:v>21</x:v>
      </x:c>
      <x:c r="E346" s="72" t="s">
        <x:v>21</x:v>
      </x:c>
      <x:c r="F346" s="72" t="s">
        <x:v>21</x:v>
      </x:c>
      <x:c r="G346" s="72" t="s">
        <x:v>21</x:v>
      </x:c>
      <x:c r="H346" s="72" t="s">
        <x:v>21</x:v>
      </x:c>
      <x:c r="I346" s="72" t="s">
        <x:v>21</x:v>
      </x:c>
      <x:c r="J346" s="72" t="s">
        <x:v>21</x:v>
      </x:c>
      <x:c r="K346" s="72" t="s">
        <x:v>21</x:v>
      </x:c>
      <x:c r="L346" s="80"/>
    </x:row>
    <x:row r="347" ht="13" hidden="0" customHeight="1">
      <x:c r="A347" s="28"/>
      <x:c r="B347" s="69" t="s">
        <x:v>59</x:v>
      </x:c>
      <x:c r="C347" s="69"/>
      <x:c r="D347" s="70" t="n">
        <x:v>593000</x:v>
      </x:c>
      <x:c r="E347" s="70" t="n">
        <x:v>586520</x:v>
      </x:c>
      <x:c r="F347" s="70" t="n">
        <x:v>580060</x:v>
      </x:c>
      <x:c r="G347" s="70" t="n">
        <x:v>573600</x:v>
      </x:c>
      <x:c r="H347" s="70" t="n">
        <x:v>567120</x:v>
      </x:c>
      <x:c r="I347" s="70" t="n">
        <x:v>560660</x:v>
      </x:c>
      <x:c r="J347" s="70" t="n">
        <x:v>554200</x:v>
      </x:c>
      <x:c r="K347" s="70" t="n">
        <x:v>547730</x:v>
      </x:c>
      <x:c r="L347" s="80"/>
    </x:row>
    <x:row r="348" ht="13" hidden="0" customHeight="1">
      <x:c r="A348" s="28"/>
      <x:c r="B348" s="41"/>
      <x:c r="C348" s="42"/>
      <x:c r="D348" s="51"/>
      <x:c r="E348" s="52"/>
      <x:c r="F348" s="52"/>
      <x:c r="G348" s="52"/>
      <x:c r="H348" s="52"/>
      <x:c r="I348" s="52"/>
      <x:c r="J348" s="52"/>
      <x:c r="K348" s="53"/>
      <x:c r="L348" s="80"/>
    </x:row>
    <x:row r="349" ht="13" hidden="0" customHeight="1">
      <x:c r="A349" s="28"/>
      <x:c r="B349" s="59" t="s">
        <x:v>60</x:v>
      </x:c>
      <x:c r="C349" s="56"/>
      <x:c r="D349" s="57"/>
      <x:c r="E349" s="58"/>
      <x:c r="F349" s="58"/>
      <x:c r="G349" s="58"/>
      <x:c r="H349" s="58"/>
      <x:c r="I349" s="58"/>
      <x:c r="J349" s="58"/>
      <x:c r="K349" s="42"/>
      <x:c r="L349" s="80"/>
    </x:row>
    <x:row r="350" ht="13" hidden="0" customHeight="1">
      <x:c r="A350" s="28"/>
      <x:c r="B350" s="41"/>
      <x:c r="C350" s="42"/>
      <x:c r="D350" s="61" t="s">
        <x:v>61</x:v>
      </x:c>
      <x:c r="E350" s="60"/>
      <x:c r="F350" s="60"/>
      <x:c r="G350" s="60"/>
      <x:c r="H350" s="60"/>
      <x:c r="I350" s="60"/>
      <x:c r="J350" s="60"/>
      <x:c r="K350" s="56"/>
      <x:c r="L350" s="80"/>
    </x:row>
    <x:row r="351" ht="13" hidden="0" customHeight="1">
      <x:c r="A351" s="28"/>
      <x:c r="B351" s="59" t="s">
        <x:v>62</x:v>
      </x:c>
      <x:c r="C351" s="56"/>
      <x:c r="D351" s="57"/>
      <x:c r="E351" s="58"/>
      <x:c r="F351" s="58"/>
      <x:c r="G351" s="58"/>
      <x:c r="H351" s="58"/>
      <x:c r="I351" s="58"/>
      <x:c r="J351" s="58"/>
      <x:c r="K351" s="42"/>
      <x:c r="L351" s="80"/>
    </x:row>
    <x:row r="352" ht="13" hidden="0" customHeight="1">
      <x:c r="A352" s="28"/>
      <x:c r="B352" s="41"/>
      <x:c r="C352" s="42"/>
      <x:c r="D352" s="61" t="s">
        <x:v>63</x:v>
      </x:c>
      <x:c r="E352" s="60"/>
      <x:c r="F352" s="60"/>
      <x:c r="G352" s="60"/>
      <x:c r="H352" s="60"/>
      <x:c r="I352" s="60"/>
      <x:c r="J352" s="60"/>
      <x:c r="K352" s="56"/>
      <x:c r="L352" s="80"/>
    </x:row>
    <x:row r="353" ht="13" hidden="0" customHeight="1">
      <x:c r="A353" s="28"/>
      <x:c r="B353" s="62" t="s">
        <x:v>30</x:v>
      </x:c>
      <x:c r="C353" s="56"/>
      <x:c r="D353" s="57"/>
      <x:c r="E353" s="58"/>
      <x:c r="F353" s="58"/>
      <x:c r="G353" s="58"/>
      <x:c r="H353" s="58"/>
      <x:c r="I353" s="58"/>
      <x:c r="J353" s="58"/>
      <x:c r="K353" s="42"/>
      <x:c r="L353" s="80"/>
    </x:row>
    <x:row r="354" ht="13" hidden="0" customHeight="1">
      <x:c r="A354" s="28"/>
      <x:c r="B354" s="63"/>
      <x:c r="C354" s="64"/>
      <x:c r="D354" s="65"/>
      <x:c r="E354" s="48"/>
      <x:c r="F354" s="48"/>
      <x:c r="G354" s="48"/>
      <x:c r="H354" s="48"/>
      <x:c r="I354" s="48"/>
      <x:c r="J354" s="48"/>
      <x:c r="K354" s="66"/>
      <x:c r="L354" s="80"/>
    </x:row>
    <x:row r="355" ht="13" hidden="0" customHeight="1">
      <x:c r="A355" s="28"/>
      <x:c r="B355" s="71" t="s">
        <x:v>31</x:v>
      </x:c>
      <x:c r="C355" s="71"/>
      <x:c r="D355" s="72" t="s">
        <x:v>21</x:v>
      </x:c>
      <x:c r="E355" s="72" t="s">
        <x:v>21</x:v>
      </x:c>
      <x:c r="F355" s="72" t="s">
        <x:v>21</x:v>
      </x:c>
      <x:c r="G355" s="72" t="s">
        <x:v>21</x:v>
      </x:c>
      <x:c r="H355" s="72" t="s">
        <x:v>21</x:v>
      </x:c>
      <x:c r="I355" s="72" t="s">
        <x:v>21</x:v>
      </x:c>
      <x:c r="J355" s="72" t="s">
        <x:v>21</x:v>
      </x:c>
      <x:c r="K355" s="72" t="s">
        <x:v>21</x:v>
      </x:c>
      <x:c r="L355" s="80"/>
    </x:row>
    <x:row r="356" ht="13" hidden="0" customHeight="1">
      <x:c r="A356" s="28"/>
      <x:c r="B356" s="69" t="s">
        <x:v>64</x:v>
      </x:c>
      <x:c r="C356" s="69"/>
      <x:c r="D356" s="70" t="n">
        <x:v>614770</x:v>
      </x:c>
      <x:c r="E356" s="70" t="n">
        <x:v>608300</x:v>
      </x:c>
      <x:c r="F356" s="70" t="n">
        <x:v>601840</x:v>
      </x:c>
      <x:c r="G356" s="70" t="n">
        <x:v>595380</x:v>
      </x:c>
      <x:c r="H356" s="70" t="n">
        <x:v>588900</x:v>
      </x:c>
      <x:c r="I356" s="70" t="n">
        <x:v>582440</x:v>
      </x:c>
      <x:c r="J356" s="70" t="n">
        <x:v>575980</x:v>
      </x:c>
      <x:c r="K356" s="70" t="n">
        <x:v>569500</x:v>
      </x:c>
      <x:c r="L356" s="80"/>
    </x:row>
    <x:row r="357" ht="13" hidden="0" customHeight="1">
      <x:c r="A357" s="28"/>
      <x:c r="B357" s="41"/>
      <x:c r="C357" s="42"/>
      <x:c r="D357" s="51"/>
      <x:c r="E357" s="52"/>
      <x:c r="F357" s="52"/>
      <x:c r="G357" s="52"/>
      <x:c r="H357" s="52"/>
      <x:c r="I357" s="52"/>
      <x:c r="J357" s="52"/>
      <x:c r="K357" s="53"/>
      <x:c r="L357" s="80"/>
    </x:row>
    <x:row r="358" ht="13" hidden="0" customHeight="1">
      <x:c r="A358" s="28"/>
      <x:c r="B358" s="59" t="s">
        <x:v>65</x:v>
      </x:c>
      <x:c r="C358" s="56"/>
      <x:c r="D358" s="57"/>
      <x:c r="E358" s="58"/>
      <x:c r="F358" s="58"/>
      <x:c r="G358" s="58"/>
      <x:c r="H358" s="58"/>
      <x:c r="I358" s="58"/>
      <x:c r="J358" s="58"/>
      <x:c r="K358" s="42"/>
      <x:c r="L358" s="80"/>
    </x:row>
    <x:row r="359" ht="13" hidden="0" customHeight="1">
      <x:c r="A359" s="28"/>
      <x:c r="B359" s="41"/>
      <x:c r="C359" s="42"/>
      <x:c r="D359" s="61" t="s">
        <x:v>66</x:v>
      </x:c>
      <x:c r="E359" s="60"/>
      <x:c r="F359" s="60"/>
      <x:c r="G359" s="60"/>
      <x:c r="H359" s="60"/>
      <x:c r="I359" s="60"/>
      <x:c r="J359" s="60"/>
      <x:c r="K359" s="56"/>
      <x:c r="L359" s="80"/>
    </x:row>
    <x:row r="360" ht="13" hidden="0" customHeight="1">
      <x:c r="A360" s="28"/>
      <x:c r="B360" s="59" t="s">
        <x:v>67</x:v>
      </x:c>
      <x:c r="C360" s="56"/>
      <x:c r="D360" s="57"/>
      <x:c r="E360" s="58"/>
      <x:c r="F360" s="58"/>
      <x:c r="G360" s="58"/>
      <x:c r="H360" s="58"/>
      <x:c r="I360" s="58"/>
      <x:c r="J360" s="58"/>
      <x:c r="K360" s="42"/>
      <x:c r="L360" s="80"/>
    </x:row>
    <x:row r="361" ht="13" hidden="0" customHeight="1">
      <x:c r="A361" s="28"/>
      <x:c r="B361" s="41"/>
      <x:c r="C361" s="42"/>
      <x:c r="D361" s="61" t="s">
        <x:v>68</x:v>
      </x:c>
      <x:c r="E361" s="60"/>
      <x:c r="F361" s="60"/>
      <x:c r="G361" s="60"/>
      <x:c r="H361" s="60"/>
      <x:c r="I361" s="60"/>
      <x:c r="J361" s="60"/>
      <x:c r="K361" s="56"/>
      <x:c r="L361" s="80"/>
    </x:row>
    <x:row r="362" ht="13" hidden="0" customHeight="1">
      <x:c r="A362" s="28"/>
      <x:c r="B362" s="62" t="s">
        <x:v>30</x:v>
      </x:c>
      <x:c r="C362" s="56"/>
      <x:c r="D362" s="57"/>
      <x:c r="E362" s="58"/>
      <x:c r="F362" s="58"/>
      <x:c r="G362" s="58"/>
      <x:c r="H362" s="58"/>
      <x:c r="I362" s="58"/>
      <x:c r="J362" s="58"/>
      <x:c r="K362" s="42"/>
      <x:c r="L362" s="80"/>
    </x:row>
    <x:row r="363" ht="13" hidden="0" customHeight="1">
      <x:c r="A363" s="28"/>
      <x:c r="B363" s="63"/>
      <x:c r="C363" s="64"/>
      <x:c r="D363" s="65"/>
      <x:c r="E363" s="48"/>
      <x:c r="F363" s="48"/>
      <x:c r="G363" s="48"/>
      <x:c r="H363" s="48"/>
      <x:c r="I363" s="48"/>
      <x:c r="J363" s="48"/>
      <x:c r="K363" s="66"/>
      <x:c r="L363" s="80"/>
    </x:row>
    <x:row r="364" ht="13" hidden="0" customHeight="1">
      <x:c r="B364" s="41"/>
      <x:c r="C364" s="42"/>
      <x:c r="D364" s="43"/>
      <x:c r="E364" s="43"/>
      <x:c r="F364" s="43"/>
      <x:c r="G364" s="43"/>
      <x:c r="H364" s="43"/>
      <x:c r="I364" s="43"/>
      <x:c r="J364" s="43"/>
      <x:c r="K364" s="43"/>
      <x:c r="L364" s="81" t="s">
        <x:v>69</x:v>
      </x:c>
    </x:row>
    <x:row r="365" ht="13" hidden="0">
      <x:c r="B365" s="69" t="s">
        <x:v>70</x:v>
      </x:c>
      <x:c r="C365" s="69"/>
      <x:c r="D365" s="70" t="n">
        <x:v>1125270</x:v>
      </x:c>
      <x:c r="E365" s="70" t="n">
        <x:v>1118800</x:v>
      </x:c>
      <x:c r="F365" s="70" t="n">
        <x:v>1112340</x:v>
      </x:c>
      <x:c r="G365" s="70" t="n">
        <x:v>1105880</x:v>
      </x:c>
      <x:c r="H365" s="70" t="n">
        <x:v>1099400</x:v>
      </x:c>
      <x:c r="I365" s="70" t="n">
        <x:v>1092940</x:v>
      </x:c>
      <x:c r="J365" s="70" t="n">
        <x:v>1086480</x:v>
      </x:c>
      <x:c r="K365" s="70" t="n">
        <x:v>1080000</x:v>
      </x:c>
      <x:c r="L365" s="81"/>
    </x:row>
    <x:row r="366" ht="13" hidden="0">
      <x:c r="B366" s="82"/>
      <x:c r="C366" s="42"/>
      <x:c r="D366" s="51"/>
      <x:c r="E366" s="52"/>
      <x:c r="F366" s="52"/>
      <x:c r="G366" s="52"/>
      <x:c r="H366" s="52"/>
      <x:c r="I366" s="52"/>
      <x:c r="J366" s="52"/>
      <x:c r="K366" s="53"/>
      <x:c r="L366" s="81"/>
    </x:row>
    <x:row r="367" ht="13" hidden="0">
      <x:c r="B367" s="82"/>
      <x:c r="C367" s="42"/>
      <x:c r="D367" s="51"/>
      <x:c r="E367" s="52"/>
      <x:c r="F367" s="52"/>
      <x:c r="G367" s="52"/>
      <x:c r="H367" s="52"/>
      <x:c r="I367" s="52"/>
      <x:c r="J367" s="52"/>
      <x:c r="K367" s="53"/>
      <x:c r="L367" s="81"/>
    </x:row>
    <x:row r="368" ht="13" hidden="0">
      <x:c r="B368" s="41"/>
      <x:c r="C368" s="42"/>
      <x:c r="D368" s="51"/>
      <x:c r="E368" s="52"/>
      <x:c r="F368" s="52"/>
      <x:c r="G368" s="52"/>
      <x:c r="H368" s="52"/>
      <x:c r="I368" s="52"/>
      <x:c r="J368" s="52"/>
      <x:c r="K368" s="53"/>
      <x:c r="L368" s="81"/>
    </x:row>
    <x:row r="369" ht="13" hidden="0">
      <x:c r="B369" s="59" t="s">
        <x:v>71</x:v>
      </x:c>
      <x:c r="C369" s="56"/>
      <x:c r="D369" s="61" t="s">
        <x:v>72</x:v>
      </x:c>
      <x:c r="E369" s="58"/>
      <x:c r="F369" s="58"/>
      <x:c r="G369" s="58"/>
      <x:c r="H369" s="58"/>
      <x:c r="I369" s="58"/>
      <x:c r="J369" s="58"/>
      <x:c r="K369" s="42"/>
      <x:c r="L369" s="81"/>
    </x:row>
    <x:row r="370" ht="13" hidden="0">
      <x:c r="B370" s="41"/>
      <x:c r="C370" s="42"/>
      <x:c r="D370" s="57"/>
      <x:c r="E370" s="60"/>
      <x:c r="F370" s="60"/>
      <x:c r="G370" s="60"/>
      <x:c r="H370" s="60"/>
      <x:c r="I370" s="60"/>
      <x:c r="J370" s="60"/>
      <x:c r="K370" s="56"/>
      <x:c r="L370" s="81"/>
    </x:row>
    <x:row r="371" ht="13" hidden="0">
      <x:c r="B371" s="62" t="s">
        <x:v>73</x:v>
      </x:c>
      <x:c r="C371" s="56"/>
      <x:c r="D371" s="61" t="s">
        <x:v>74</x:v>
      </x:c>
      <x:c r="E371" s="58"/>
      <x:c r="F371" s="58"/>
      <x:c r="G371" s="58"/>
      <x:c r="H371" s="58"/>
      <x:c r="I371" s="58"/>
      <x:c r="J371" s="58"/>
      <x:c r="K371" s="42"/>
      <x:c r="L371" s="81"/>
    </x:row>
    <x:row r="372" ht="13" hidden="0">
      <x:c r="B372" s="59"/>
      <x:c r="C372" s="56"/>
      <x:c r="D372" s="61"/>
      <x:c r="E372" s="58"/>
      <x:c r="F372" s="58"/>
      <x:c r="G372" s="58"/>
      <x:c r="H372" s="58"/>
      <x:c r="I372" s="58"/>
      <x:c r="J372" s="58"/>
      <x:c r="K372" s="42"/>
      <x:c r="L372" s="81"/>
    </x:row>
    <x:row r="373" ht="13" hidden="0">
      <x:c r="B373" s="59"/>
      <x:c r="C373" s="56"/>
      <x:c r="D373" s="61"/>
      <x:c r="E373" s="58"/>
      <x:c r="F373" s="58"/>
      <x:c r="G373" s="58"/>
      <x:c r="H373" s="58"/>
      <x:c r="I373" s="58"/>
      <x:c r="J373" s="58"/>
      <x:c r="K373" s="42"/>
      <x:c r="L373" s="81"/>
    </x:row>
    <x:row r="374" ht="13" hidden="0">
      <x:c r="B374" s="63"/>
      <x:c r="C374" s="64"/>
      <x:c r="D374" s="65"/>
      <x:c r="E374" s="48"/>
      <x:c r="F374" s="48"/>
      <x:c r="G374" s="48"/>
      <x:c r="H374" s="48"/>
      <x:c r="I374" s="48"/>
      <x:c r="J374" s="48"/>
      <x:c r="K374" s="66"/>
      <x:c r="L374" s="81"/>
    </x:row>
    <x:row r="375" ht="13.5" hidden="0" customHeight="1">
      <x:c r="B375" s="75"/>
      <x:c r="C375" s="83"/>
      <x:c r="D375" s="84"/>
      <x:c r="E375" s="84"/>
      <x:c r="F375" s="84"/>
      <x:c r="G375" s="84"/>
      <x:c r="H375" s="84"/>
      <x:c r="I375" s="84"/>
      <x:c r="J375" s="84"/>
      <x:c r="K375" s="85"/>
      <x:c r="L375" s="86" t="s">
        <x:v>75</x:v>
      </x:c>
    </x:row>
    <x:row r="376" ht="13.5" hidden="0" customHeight="1">
      <x:c r="B376" s="41"/>
      <x:c r="C376" s="58"/>
      <x:c r="D376" s="87"/>
      <x:c r="E376" s="87"/>
      <x:c r="F376" s="87"/>
      <x:c r="G376" s="87"/>
      <x:c r="H376" s="87"/>
      <x:c r="I376" s="87"/>
      <x:c r="J376" s="87"/>
      <x:c r="K376" s="88"/>
      <x:c r="L376" s="86"/>
    </x:row>
    <x:row r="377" ht="13" hidden="0">
      <x:c r="B377" s="41"/>
      <x:c r="C377" s="58"/>
      <x:c r="D377" s="87"/>
      <x:c r="E377" s="87"/>
      <x:c r="F377" s="87"/>
      <x:c r="G377" s="87"/>
      <x:c r="H377" s="87"/>
      <x:c r="I377" s="87"/>
      <x:c r="J377" s="87"/>
      <x:c r="K377" s="88"/>
      <x:c r="L377" s="86"/>
    </x:row>
    <x:row r="378" ht="13" hidden="0">
      <x:c r="B378" s="62" t="s">
        <x:v>76</x:v>
      </x:c>
      <x:c r="C378" s="58"/>
      <x:c r="D378" s="87"/>
      <x:c r="E378" s="87"/>
      <x:c r="F378" s="87"/>
      <x:c r="G378" s="87"/>
      <x:c r="H378" s="87"/>
      <x:c r="I378" s="87"/>
      <x:c r="J378" s="87"/>
      <x:c r="K378" s="88"/>
      <x:c r="L378" s="86"/>
    </x:row>
    <x:row r="379" ht="13" hidden="0">
      <x:c r="B379" s="41"/>
      <x:c r="C379" s="58"/>
      <x:c r="D379" s="87"/>
      <x:c r="E379" s="87"/>
      <x:c r="F379" s="87"/>
      <x:c r="G379" s="87"/>
      <x:c r="H379" s="87"/>
      <x:c r="I379" s="87"/>
      <x:c r="J379" s="87"/>
      <x:c r="K379" s="88"/>
      <x:c r="L379" s="86"/>
    </x:row>
    <x:row r="380" ht="13" hidden="0">
      <x:c r="B380" s="41"/>
      <x:c r="C380" s="58"/>
      <x:c r="D380" s="87"/>
      <x:c r="E380" s="87"/>
      <x:c r="F380" s="87"/>
      <x:c r="G380" s="87"/>
      <x:c r="H380" s="87"/>
      <x:c r="I380" s="87"/>
      <x:c r="J380" s="87"/>
      <x:c r="K380" s="88"/>
      <x:c r="L380" s="86"/>
    </x:row>
    <x:row r="381" ht="13" hidden="0">
      <x:c r="B381" s="41"/>
      <x:c r="C381" s="58"/>
      <x:c r="D381" s="87"/>
      <x:c r="E381" s="87"/>
      <x:c r="F381" s="87"/>
      <x:c r="G381" s="87"/>
      <x:c r="H381" s="87"/>
      <x:c r="I381" s="87"/>
      <x:c r="J381" s="87"/>
      <x:c r="K381" s="88"/>
      <x:c r="L381" s="86"/>
    </x:row>
    <x:row r="382" ht="13" hidden="0">
      <x:c r="B382" s="62" t="s">
        <x:v>77</x:v>
      </x:c>
      <x:c r="C382" s="58"/>
      <x:c r="D382" s="87"/>
      <x:c r="E382" s="87"/>
      <x:c r="F382" s="87"/>
      <x:c r="G382" s="87"/>
      <x:c r="H382" s="87"/>
      <x:c r="I382" s="87"/>
      <x:c r="J382" s="87"/>
      <x:c r="K382" s="88"/>
      <x:c r="L382" s="86"/>
    </x:row>
    <x:row r="383" ht="13" hidden="0">
      <x:c r="B383" s="89"/>
      <x:c r="C383" s="58"/>
      <x:c r="D383" s="87"/>
      <x:c r="E383" s="87"/>
      <x:c r="F383" s="87"/>
      <x:c r="G383" s="87"/>
      <x:c r="H383" s="87"/>
      <x:c r="I383" s="87"/>
      <x:c r="J383" s="87"/>
      <x:c r="K383" s="88"/>
      <x:c r="L383" s="86"/>
    </x:row>
    <x:row r="384" ht="13" hidden="0">
      <x:c r="B384" s="89"/>
      <x:c r="C384" s="60"/>
      <x:c r="D384" s="60"/>
      <x:c r="E384" s="60"/>
      <x:c r="F384" s="60"/>
      <x:c r="G384" s="60"/>
      <x:c r="H384" s="60"/>
      <x:c r="I384" s="60"/>
      <x:c r="J384" s="60"/>
      <x:c r="K384" s="56"/>
      <x:c r="L384" s="86"/>
    </x:row>
    <x:row r="385" ht="13" hidden="0">
      <x:c r="B385" s="41"/>
      <x:c r="C385" s="58"/>
      <x:c r="D385" s="87"/>
      <x:c r="E385" s="87"/>
      <x:c r="F385" s="87"/>
      <x:c r="G385" s="87"/>
      <x:c r="H385" s="87"/>
      <x:c r="I385" s="87"/>
      <x:c r="J385" s="87"/>
      <x:c r="K385" s="88"/>
      <x:c r="L385" s="86"/>
    </x:row>
    <x:row r="386" ht="13" hidden="0">
      <x:c r="B386" s="41"/>
      <x:c r="C386" s="58"/>
      <x:c r="D386" s="87"/>
      <x:c r="E386" s="87"/>
      <x:c r="F386" s="87"/>
      <x:c r="G386" s="87"/>
      <x:c r="H386" s="87"/>
      <x:c r="I386" s="87"/>
      <x:c r="J386" s="87"/>
      <x:c r="K386" s="88"/>
      <x:c r="L386" s="86"/>
    </x:row>
    <x:row r="387" ht="13.5" hidden="0">
      <x:c r="B387" s="90"/>
      <x:c r="C387" s="91"/>
      <x:c r="D387" s="92"/>
      <x:c r="E387" s="92"/>
      <x:c r="F387" s="92"/>
      <x:c r="G387" s="92"/>
      <x:c r="H387" s="92"/>
      <x:c r="I387" s="92"/>
      <x:c r="J387" s="92"/>
      <x:c r="K387" s="93"/>
      <x:c r="L387" s="86"/>
    </x:row>
    <x:row r="388" ht="13" hidden="0">
      <x:c r="B388" s="94" t="s">
        <x:v>78</x:v>
      </x:c>
      <x:c r="C388" s="94"/>
      <x:c r="D388" s="94"/>
      <x:c r="E388" s="94"/>
      <x:c r="F388" s="94"/>
      <x:c r="G388" s="94"/>
      <x:c r="H388" s="94"/>
      <x:c r="I388" s="94"/>
      <x:c r="J388" s="94"/>
      <x:c r="K388" s="94"/>
      <x:c r="L388" s="94"/>
    </x:row>
    <x:row r="389" ht="13" hidden="0">
      <x:c r="B389" s="95" t="s">
        <x:v>79</x:v>
      </x:c>
      <x:c r="C389" s="95"/>
      <x:c r="D389" s="95"/>
      <x:c r="E389" s="95"/>
      <x:c r="F389" s="95"/>
      <x:c r="G389" s="95"/>
      <x:c r="H389" s="95"/>
      <x:c r="I389" s="95"/>
      <x:c r="J389" s="95"/>
      <x:c r="K389" s="95"/>
      <x:c r="L389" s="95"/>
    </x:row>
    <x:row r="390" ht="13" hidden="0">
      <x:c r="B390" s="95" t="s">
        <x:v>80</x:v>
      </x:c>
      <x:c r="C390" s="95"/>
      <x:c r="D390" s="95"/>
      <x:c r="E390" s="95"/>
      <x:c r="F390" s="95"/>
      <x:c r="G390" s="95"/>
      <x:c r="H390" s="95"/>
      <x:c r="I390" s="95"/>
      <x:c r="J390" s="95"/>
      <x:c r="K390" s="95"/>
      <x:c r="L390" s="95"/>
    </x:row>
    <x:row r="391" ht="13.5" hidden="0" customHeight="1">
      <x:c r="B391" s="96" t="s">
        <x:v>81</x:v>
      </x:c>
      <x:c r="C391" s="96"/>
      <x:c r="D391" s="96"/>
      <x:c r="E391" s="96"/>
      <x:c r="F391" s="96"/>
      <x:c r="G391" s="96"/>
      <x:c r="H391" s="96"/>
      <x:c r="I391" s="96"/>
      <x:c r="J391" s="96"/>
      <x:c r="K391" s="96"/>
      <x:c r="L391" s="96"/>
    </x:row>
    <x:row r="392" ht="13.5" hidden="0" customHeight="1">
      <x:c r="B392" s="97" t="s">
        <x:v>82</x:v>
      </x:c>
      <x:c r="C392" s="97"/>
      <x:c r="D392" s="97"/>
      <x:c r="E392" s="97"/>
      <x:c r="F392" s="97"/>
      <x:c r="G392" s="97"/>
      <x:c r="H392" s="97"/>
      <x:c r="I392" s="97"/>
      <x:c r="J392" s="97"/>
      <x:c r="K392" s="97"/>
      <x:c r="L392" s="97"/>
    </x:row>
    <x:row r="393" ht="13.5" hidden="0" customHeight="1">
      <x:c r="B393" s="97" t="s">
        <x:v>83</x:v>
      </x:c>
      <x:c r="C393" s="97"/>
      <x:c r="D393" s="97"/>
      <x:c r="E393" s="97"/>
      <x:c r="F393" s="97"/>
      <x:c r="G393" s="97"/>
      <x:c r="H393" s="97"/>
      <x:c r="I393" s="97"/>
      <x:c r="J393" s="97"/>
      <x:c r="K393" s="97"/>
      <x:c r="L393" s="97"/>
    </x:row>
    <x:row r="394" ht="13.5" hidden="0" customHeight="1">
      <x:c r="B394" s="95" t="s">
        <x:v>84</x:v>
      </x:c>
      <x:c r="C394" s="95"/>
      <x:c r="D394" s="95"/>
      <x:c r="E394" s="95"/>
      <x:c r="F394" s="95"/>
      <x:c r="G394" s="95"/>
      <x:c r="H394" s="95"/>
      <x:c r="I394" s="95"/>
      <x:c r="J394" s="95"/>
      <x:c r="K394" s="95"/>
      <x:c r="L394" s="95"/>
    </x:row>
    <x:row r="395" ht="13.5" hidden="0" customHeight="1">
      <x:c r="B395" s="97" t="s">
        <x:v>85</x:v>
      </x:c>
      <x:c r="C395" s="97"/>
      <x:c r="D395" s="97"/>
      <x:c r="E395" s="97"/>
      <x:c r="F395" s="97"/>
      <x:c r="G395" s="97"/>
      <x:c r="H395" s="97"/>
      <x:c r="I395" s="97"/>
      <x:c r="J395" s="97"/>
      <x:c r="K395" s="97"/>
      <x:c r="L395" s="97"/>
    </x:row>
    <x:row r="396" ht="13.5" hidden="0" customHeight="1">
      <x:c r="B396" s="97" t="s">
        <x:v>86</x:v>
      </x:c>
      <x:c r="C396" s="97"/>
      <x:c r="D396" s="97"/>
      <x:c r="E396" s="97"/>
      <x:c r="F396" s="97"/>
      <x:c r="G396" s="97"/>
      <x:c r="H396" s="97"/>
      <x:c r="I396" s="97"/>
      <x:c r="J396" s="97"/>
      <x:c r="K396" s="97"/>
      <x:c r="L396" s="97"/>
    </x:row>
    <x:row r="397" ht="13.5" hidden="0" customHeight="1">
      <x:c r="B397" s="97" t="s">
        <x:v>87</x:v>
      </x:c>
      <x:c r="C397" s="97"/>
      <x:c r="D397" s="97"/>
      <x:c r="E397" s="97"/>
      <x:c r="F397" s="97"/>
      <x:c r="G397" s="97"/>
      <x:c r="H397" s="97"/>
      <x:c r="I397" s="97"/>
      <x:c r="J397" s="97"/>
      <x:c r="K397" s="97"/>
      <x:c r="L397" s="97"/>
    </x:row>
    <x:row r="398" ht="13.5" hidden="0" customHeight="1">
      <x:c r="B398" s="97" t="s">
        <x:v>88</x:v>
      </x:c>
      <x:c r="C398" s="97"/>
      <x:c r="D398" s="97"/>
      <x:c r="E398" s="97"/>
      <x:c r="F398" s="97"/>
      <x:c r="G398" s="97"/>
      <x:c r="H398" s="97"/>
      <x:c r="I398" s="97"/>
      <x:c r="J398" s="97"/>
      <x:c r="K398" s="97"/>
      <x:c r="L398" s="97"/>
    </x:row>
    <x:row r="399" ht="13.5" hidden="0" customHeight="1">
      <x:c r="B399" s="98" t="s">
        <x:v>89</x:v>
      </x:c>
      <x:c r="C399" s="98"/>
      <x:c r="D399" s="98"/>
      <x:c r="E399" s="98"/>
      <x:c r="F399" s="98"/>
      <x:c r="G399" s="98"/>
      <x:c r="H399" s="98"/>
      <x:c r="I399" s="98"/>
      <x:c r="J399" s="98"/>
      <x:c r="K399" s="98"/>
      <x:c r="L399" s="98"/>
    </x:row>
    <x:row r="400" ht="13.5" hidden="0" customHeight="1">
      <x:c r="B400" s="98" t="s">
        <x:v>90</x:v>
      </x:c>
      <x:c r="C400" s="98"/>
      <x:c r="D400" s="98"/>
      <x:c r="E400" s="98"/>
      <x:c r="F400" s="98"/>
      <x:c r="G400" s="98"/>
      <x:c r="H400" s="98"/>
      <x:c r="I400" s="98"/>
      <x:c r="J400" s="98"/>
      <x:c r="K400" s="98"/>
      <x:c r="L400" s="98"/>
    </x:row>
    <x:row r="401" ht="13.5" hidden="0" customHeight="1">
      <x:c r="B401" s="97" t="s">
        <x:v>91</x:v>
      </x:c>
      <x:c r="C401" s="97"/>
      <x:c r="D401" s="97"/>
      <x:c r="E401" s="97"/>
      <x:c r="F401" s="97"/>
      <x:c r="G401" s="97"/>
      <x:c r="H401" s="97"/>
      <x:c r="I401" s="97"/>
      <x:c r="J401" s="97"/>
      <x:c r="K401" s="97"/>
      <x:c r="L401" s="97"/>
    </x:row>
    <x:row r="402" ht="13.5" hidden="0" customHeight="1">
      <x:c r="B402" s="97" t="s">
        <x:v>92</x:v>
      </x:c>
      <x:c r="C402" s="97"/>
      <x:c r="D402" s="97"/>
      <x:c r="E402" s="97"/>
      <x:c r="F402" s="97"/>
      <x:c r="G402" s="97"/>
      <x:c r="H402" s="97"/>
      <x:c r="I402" s="97"/>
      <x:c r="J402" s="97"/>
      <x:c r="K402" s="97"/>
      <x:c r="L402" s="97"/>
    </x:row>
    <x:row r="403" ht="13" hidden="0" customHeight="1">
      <x:c r="B403" s="97" t="s">
        <x:v>93</x:v>
      </x:c>
      <x:c r="C403" s="97"/>
      <x:c r="D403" s="97"/>
      <x:c r="E403" s="97"/>
      <x:c r="F403" s="97"/>
      <x:c r="G403" s="97"/>
      <x:c r="H403" s="97"/>
      <x:c r="I403" s="97"/>
      <x:c r="J403" s="97"/>
      <x:c r="K403" s="97"/>
      <x:c r="L403" s="97"/>
    </x:row>
    <x:row r="404" ht="13" hidden="0" customHeight="1">
      <x:c r="B404" s="97" t="s">
        <x:v>94</x:v>
      </x:c>
      <x:c r="C404" s="97"/>
      <x:c r="D404" s="97"/>
      <x:c r="E404" s="97"/>
      <x:c r="F404" s="97"/>
      <x:c r="G404" s="97"/>
      <x:c r="H404" s="97"/>
      <x:c r="I404" s="97"/>
      <x:c r="J404" s="97"/>
      <x:c r="K404" s="97"/>
      <x:c r="L404" s="97"/>
    </x:row>
    <x:row r="405" ht="13" hidden="0" customHeight="1">
      <x:c r="B405" s="97" t="s">
        <x:v>95</x:v>
      </x:c>
      <x:c r="C405" s="97"/>
      <x:c r="D405" s="97"/>
      <x:c r="E405" s="97"/>
      <x:c r="F405" s="97"/>
      <x:c r="G405" s="97"/>
      <x:c r="H405" s="97"/>
      <x:c r="I405" s="97"/>
      <x:c r="J405" s="97"/>
      <x:c r="K405" s="97"/>
      <x:c r="L405" s="97"/>
    </x:row>
    <x:row r="406" ht="13" hidden="0" customHeight="1">
      <x:c r="B406" s="97" t="s">
        <x:v>96</x:v>
      </x:c>
      <x:c r="C406" s="97"/>
      <x:c r="D406" s="97"/>
      <x:c r="E406" s="97"/>
      <x:c r="F406" s="97"/>
      <x:c r="G406" s="97"/>
      <x:c r="H406" s="97"/>
      <x:c r="I406" s="97"/>
      <x:c r="J406" s="97"/>
      <x:c r="K406" s="97"/>
      <x:c r="L406" s="97"/>
    </x:row>
    <x:row r="407" ht="13" hidden="0" customHeight="1">
      <x:c r="B407" s="97" t="s">
        <x:v>97</x:v>
      </x:c>
      <x:c r="C407" s="97"/>
      <x:c r="D407" s="97"/>
      <x:c r="E407" s="97"/>
      <x:c r="F407" s="97"/>
      <x:c r="G407" s="97"/>
      <x:c r="H407" s="97"/>
      <x:c r="I407" s="97"/>
      <x:c r="J407" s="97"/>
      <x:c r="K407" s="97"/>
      <x:c r="L407" s="97"/>
    </x:row>
    <x:row r="408" ht="13" hidden="0" customHeight="1">
      <x:c r="B408" s="97" t="s">
        <x:v>98</x:v>
      </x:c>
      <x:c r="C408" s="97"/>
      <x:c r="D408" s="97"/>
      <x:c r="E408" s="97"/>
      <x:c r="F408" s="97"/>
      <x:c r="G408" s="97"/>
      <x:c r="H408" s="97"/>
      <x:c r="I408" s="97"/>
      <x:c r="J408" s="97"/>
      <x:c r="K408" s="97"/>
      <x:c r="L408" s="97"/>
    </x:row>
    <x:row r="409" ht="13" hidden="0" customHeight="1">
      <x:c r="B409" s="97" t="s">
        <x:v>99</x:v>
      </x:c>
      <x:c r="C409" s="97"/>
      <x:c r="D409" s="97"/>
      <x:c r="E409" s="97"/>
      <x:c r="F409" s="97"/>
      <x:c r="G409" s="97"/>
      <x:c r="H409" s="97"/>
      <x:c r="I409" s="97"/>
      <x:c r="J409" s="97"/>
      <x:c r="K409" s="97"/>
      <x:c r="L409" s="97"/>
    </x:row>
    <x:row r="410" ht="13" hidden="0" customHeight="1">
      <x:c r="B410" s="97" t="s">
        <x:v>100</x:v>
      </x:c>
      <x:c r="C410" s="97"/>
      <x:c r="D410" s="97"/>
      <x:c r="E410" s="97"/>
      <x:c r="F410" s="97"/>
      <x:c r="G410" s="97"/>
      <x:c r="H410" s="97"/>
      <x:c r="I410" s="97"/>
      <x:c r="J410" s="97"/>
      <x:c r="K410" s="97"/>
      <x:c r="L410" s="97"/>
    </x:row>
    <x:row r="411" ht="13" hidden="0" customHeight="1">
      <x:c r="B411" s="97" t="s">
        <x:v>101</x:v>
      </x:c>
      <x:c r="C411" s="97"/>
      <x:c r="D411" s="97"/>
      <x:c r="E411" s="97"/>
      <x:c r="F411" s="97"/>
      <x:c r="G411" s="97"/>
      <x:c r="H411" s="97"/>
      <x:c r="I411" s="97"/>
      <x:c r="J411" s="97"/>
      <x:c r="K411" s="97"/>
      <x:c r="L411" s="97"/>
    </x:row>
    <x:row r="412" ht="13" hidden="0" customHeight="1">
      <x:c r="B412" s="97" t="s">
        <x:v>102</x:v>
      </x:c>
      <x:c r="C412" s="97"/>
      <x:c r="D412" s="97"/>
      <x:c r="E412" s="97"/>
      <x:c r="F412" s="97"/>
      <x:c r="G412" s="97"/>
      <x:c r="H412" s="97"/>
      <x:c r="I412" s="97"/>
      <x:c r="J412" s="97"/>
      <x:c r="K412" s="97"/>
      <x:c r="L412" s="97"/>
    </x:row>
    <x:row r="413" ht="13" hidden="0" customHeight="1">
      <x:c r="B413" s="97" t="s">
        <x:v>103</x:v>
      </x:c>
      <x:c r="C413" s="97"/>
      <x:c r="D413" s="97"/>
      <x:c r="E413" s="97"/>
      <x:c r="F413" s="97"/>
      <x:c r="G413" s="97"/>
      <x:c r="H413" s="97"/>
      <x:c r="I413" s="97"/>
      <x:c r="J413" s="97"/>
      <x:c r="K413" s="97"/>
      <x:c r="L413" s="97"/>
    </x:row>
  </x:sheetData>
  <x:mergeCells>
    <x:mergeCell ref="B1:L1"/>
    <x:mergeCell ref="B2:L2"/>
    <x:mergeCell ref="D3:K3"/>
    <x:mergeCell ref="D4:K4"/>
    <x:mergeCell ref="D6:K6"/>
    <x:mergeCell ref="B289:C289"/>
    <x:mergeCell ref="L291:L300"/>
    <x:mergeCell ref="B301:C301"/>
    <x:mergeCell ref="L301:L318"/>
    <x:mergeCell ref="B302:C302"/>
    <x:mergeCell ref="B310:C310"/>
    <x:mergeCell ref="B311:C311"/>
    <x:mergeCell ref="B319:C319"/>
    <x:mergeCell ref="B320:C320"/>
    <x:mergeCell ref="L321:L363"/>
    <x:mergeCell ref="B328:C328"/>
    <x:mergeCell ref="B329:C329"/>
    <x:mergeCell ref="B337:C337"/>
    <x:mergeCell ref="B338:C338"/>
    <x:mergeCell ref="B346:C346"/>
    <x:mergeCell ref="B347:C347"/>
    <x:mergeCell ref="B355:C355"/>
    <x:mergeCell ref="B356:C356"/>
    <x:mergeCell ref="L364:L374"/>
    <x:mergeCell ref="B365:C365"/>
    <x:mergeCell ref="L375:L387"/>
    <x:mergeCell ref="B388:L388"/>
    <x:mergeCell ref="B389:L389"/>
    <x:mergeCell ref="B390:L390"/>
    <x:mergeCell ref="B391:L391"/>
    <x:mergeCell ref="B392:L392"/>
    <x:mergeCell ref="B393:L393"/>
    <x:mergeCell ref="B394:L394"/>
    <x:mergeCell ref="B395:L395"/>
    <x:mergeCell ref="B396:L396"/>
    <x:mergeCell ref="B397:L397"/>
    <x:mergeCell ref="B398:L398"/>
    <x:mergeCell ref="B399:L399"/>
    <x:mergeCell ref="B400:L400"/>
    <x:mergeCell ref="B401:L401"/>
    <x:mergeCell ref="B402:L402"/>
    <x:mergeCell ref="B403:L403"/>
    <x:mergeCell ref="B404:L404"/>
    <x:mergeCell ref="B405:L405"/>
    <x:mergeCell ref="B406:L406"/>
    <x:mergeCell ref="B407:L407"/>
    <x:mergeCell ref="B408:L408"/>
    <x:mergeCell ref="B409:L409"/>
    <x:mergeCell ref="B410:L410"/>
    <x:mergeCell ref="B411:L411"/>
    <x:mergeCell ref="B412:L412"/>
    <x:mergeCell ref="B413:L413"/>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6" hidden="0" customWidth="1"/>
    <x:col min="3" max="3" width="13" hidden="0" customWidth="1"/>
    <x:col min="4" max="4" width="10" hidden="0" customWidth="1"/>
    <x:col min="5" max="5" width="13" hidden="0" customWidth="1"/>
    <x:col min="6" max="6" width="18" hidden="0" customWidth="1"/>
    <x:col min="7" max="7" width="20" hidden="0" customWidth="1"/>
    <x:col min="8" max="8" width="18" hidden="0" customWidth="1"/>
    <x:col min="9" max="9" width="14" hidden="0" customWidth="1"/>
    <x:col min="10" max="10" width="13" hidden="0" customWidth="1"/>
    <x:col min="11" max="11" width="13" hidden="0" customWidth="1"/>
    <x:col min="12" max="12" width="24" hidden="0" customWidth="1"/>
    <x:col min="13" max="13" width="8" hidden="0" customWidth="1"/>
    <x:col min="14" max="14" width="14" hidden="0" customWidth="1"/>
    <x:col min="15" max="15" width="13" hidden="0" customWidth="1"/>
    <x:col min="16" max="16" width="13" hidden="0" customWidth="1"/>
    <x:col min="17" max="17" width="15" hidden="0" customWidth="1"/>
  </x:cols>
  <x:sheetData>
    <x:row r="1" ht="30" customHeight="1">
      <x:c r="A1" s="197" t="str">
        <x:v>給与源泉税 計算シート（令和8年分・月額表）</x:v>
      </x:c>
      <x:c r="B1" s="197"/>
      <x:c r="C1" s="197"/>
      <x:c r="D1" s="197"/>
      <x:c r="E1" s="197"/>
      <x:c r="F1" s="197"/>
      <x:c r="G1" s="197"/>
      <x:c r="H1" s="197"/>
      <x:c r="I1" s="197"/>
      <x:c r="J1" s="197"/>
      <x:c r="K1" s="197"/>
      <x:c r="L1" s="197"/>
    </x:row>
    <x:row r="2" ht="30" customHeight="1">
      <x:c r="A2" s="203" t="str">
        <x:v>売上歩合で支払うアルバイト給与を想定。毎月の支払額、または売上金額×歩合率から源泉所得税を計算します。</x:v>
      </x:c>
      <x:c r="B2" s="203"/>
      <x:c r="C2" s="203"/>
      <x:c r="D2" s="203"/>
      <x:c r="E2" s="203"/>
      <x:c r="F2" s="203"/>
      <x:c r="G2" s="203"/>
      <x:c r="H2" s="203"/>
      <x:c r="I2" s="203"/>
      <x:c r="J2" s="203"/>
      <x:c r="K2" s="203"/>
      <x:c r="L2" s="203"/>
    </x:row>
    <x:row r="4">
      <x:c r="A4" s="210" t="str">
        <x:v>支払月</x:v>
      </x:c>
      <x:c r="B4" s="210" t="str">
        <x:v>スタッフ名</x:v>
      </x:c>
      <x:c r="C4" s="210" t="str">
        <x:v>売上金額</x:v>
      </x:c>
      <x:c r="D4" s="210" t="str">
        <x:v>歩合率</x:v>
      </x:c>
      <x:c r="E4" s="210" t="str">
        <x:v>支給額</x:v>
      </x:c>
      <x:c r="F4" s="210" t="str">
        <x:v>社会保険料等控除額</x:v>
      </x:c>
      <x:c r="G4" s="210" t="str">
        <x:v>社会保険料等控除後の給与</x:v>
      </x:c>
      <x:c r="H4" s="210" t="str">
        <x:v>税額表区分</x:v>
      </x:c>
      <x:c r="I4" s="210" t="str">
        <x:v>扶養親族等の数</x:v>
      </x:c>
      <x:c r="J4" s="210" t="str">
        <x:v>源泉所得税</x:v>
      </x:c>
      <x:c r="K4" s="210" t="str">
        <x:v>差引支給額</x:v>
      </x:c>
      <x:c r="L4" s="210" t="str">
        <x:v>メモ</x:v>
      </x:c>
      <x:c r="M4" s="210" t="str">
        <x:v>税表行</x:v>
      </x:c>
      <x:c r="N4" s="210" t="str">
        <x:v>集計</x:v>
      </x:c>
      <x:c r="O4" s="210" t="str">
        <x:v>支給額合計</x:v>
      </x:c>
      <x:c r="P4" s="210" t="str">
        <x:v>源泉税合計</x:v>
      </x:c>
      <x:c r="Q4" s="210" t="str">
        <x:v>差引支給額合計</x:v>
      </x:c>
    </x:row>
    <x:row r="5">
      <x:c r="A5" t="str">
        <x:v>2026/1/25</x:v>
      </x:c>
      <x:c r="B5" t="str">
        <x:v>スタッフA</x:v>
      </x:c>
      <x:c r="C5" s="219"/>
      <x:c r="D5" s="221" t="n">
        <x:v>0.1</x:v>
      </x:c>
      <x:c r="E5" s="219" t="str">
        <x:f>IF(C5="","",ROUND(C5*D5,0))</x:f>
      </x:c>
      <x:c r="F5" s="219" t="n">
        <x:v>0</x:v>
      </x:c>
      <x:c r="G5" s="219" t="str">
        <x:f>IF(E5="","",MAX(0,E5-F5))</x:f>
      </x:c>
      <x:c r="H5" t="str">
        <x:v>甲（申告書あり）</x:v>
      </x:c>
      <x:c r="I5" s="223" t="n">
        <x:v>0</x:v>
      </x:c>
      <x:c r="J5" s="219" t="str">
        <x:f>IF(G5="","",IF(H5="乙（提出なし）",ROUNDDOWN(INDEX('計算用税額表'!$E$2:$E$242,M5)+MAX(0,G5-INDEX('計算用税額表'!$D$2:$D$242,M5))*INDEX('計算用税額表'!$F$2:$F$242,M5),0),MAX(0,ROUNDDOWN(INDEX('計算用税額表'!$G$2:$N$242,M5,MIN(MAX(I5,0),7)+1)+MAX(0,G5-INDEX('計算用税額表'!$A$2:$A$242,M5))*INDEX('計算用税額表'!$C$2:$C$242,M5),0)-MAX(I5-7,0)*1610)))</x:f>
      </x:c>
      <x:c r="K5" s="219" t="str">
        <x:f>IF(E5="","",E5-J5)</x:f>
      </x:c>
      <x:c r="L5" t="str"/>
      <x:c r="M5" t="str">
        <x:f>IF(G5="","",MATCH(G5,'計算用税額表'!$A$2:$A$242,1))</x:f>
      </x:c>
      <x:c r="N5" t="str">
        <x:v>スタッフA</x:v>
      </x:c>
      <x:c r="O5" s="219" t="n">
        <x:f>E5+E8+E11+E14+E17+E20+E23+E26+E29+E32+E35+E38</x:f>
        <x:v>0</x:v>
      </x:c>
      <x:c r="P5" s="219" t="n">
        <x:f>J5+J8+J11+J14+J17+J20+J23+J26+J29+J32+J35+J38</x:f>
        <x:v>0</x:v>
      </x:c>
      <x:c r="Q5" s="219" t="n">
        <x:f>K5+K8+K11+K14+K17+K20+K23+K26+K29+K32+K35+K38</x:f>
        <x:v>0</x:v>
      </x:c>
    </x:row>
    <x:row r="6">
      <x:c r="A6" t="str">
        <x:v>2026/1/25</x:v>
      </x:c>
      <x:c r="B6" t="str">
        <x:v>スタッフB</x:v>
      </x:c>
      <x:c r="C6" s="219"/>
      <x:c r="D6" s="221" t="n">
        <x:v>0.1</x:v>
      </x:c>
      <x:c r="E6" s="219" t="str">
        <x:f>IF(C6="","",ROUND(C6*D6,0))</x:f>
      </x:c>
      <x:c r="F6" s="219" t="n">
        <x:v>0</x:v>
      </x:c>
      <x:c r="G6" s="219" t="str">
        <x:f>IF(E6="","",MAX(0,E6-F6))</x:f>
      </x:c>
      <x:c r="H6" t="str">
        <x:v>甲（申告書あり）</x:v>
      </x:c>
      <x:c r="I6" s="223" t="n">
        <x:v>0</x:v>
      </x:c>
      <x:c r="J6" s="219" t="str">
        <x:f>IF(G6="","",IF(H6="乙（提出なし）",ROUNDDOWN(INDEX('計算用税額表'!$E$2:$E$242,M6)+MAX(0,G6-INDEX('計算用税額表'!$D$2:$D$242,M6))*INDEX('計算用税額表'!$F$2:$F$242,M6),0),MAX(0,ROUNDDOWN(INDEX('計算用税額表'!$G$2:$N$242,M6,MIN(MAX(I6,0),7)+1)+MAX(0,G6-INDEX('計算用税額表'!$A$2:$A$242,M6))*INDEX('計算用税額表'!$C$2:$C$242,M6),0)-MAX(I6-7,0)*1610)))</x:f>
      </x:c>
      <x:c r="K6" s="219" t="str">
        <x:f>IF(E6="","",E6-J6)</x:f>
      </x:c>
      <x:c r="L6" t="str"/>
      <x:c r="M6" t="str">
        <x:f>IF(G6="","",MATCH(G6,'計算用税額表'!$A$2:$A$242,1))</x:f>
      </x:c>
      <x:c r="N6" t="str">
        <x:v>スタッフB</x:v>
      </x:c>
      <x:c r="O6" s="219" t="n">
        <x:f>E6+E9+E12+E15+E18+E21+E24+E27+E30+E33+E36+E39</x:f>
        <x:v>0</x:v>
      </x:c>
      <x:c r="P6" s="219" t="n">
        <x:f>J6+J9+J12+J15+J18+J21+J24+J27+J30+J33+J36+J39</x:f>
        <x:v>0</x:v>
      </x:c>
      <x:c r="Q6" s="219" t="n">
        <x:f>K6+K9+K12+K15+K18+K21+K24+K27+K30+K33+K36+K39</x:f>
        <x:v>0</x:v>
      </x:c>
    </x:row>
    <x:row r="7">
      <x:c r="A7" t="str">
        <x:v>2026/1/25</x:v>
      </x:c>
      <x:c r="B7" t="str">
        <x:v>スタッフC</x:v>
      </x:c>
      <x:c r="C7" s="219"/>
      <x:c r="D7" s="221" t="n">
        <x:v>0.1</x:v>
      </x:c>
      <x:c r="E7" s="219" t="str">
        <x:f>IF(C7="","",ROUND(C7*D7,0))</x:f>
      </x:c>
      <x:c r="F7" s="219" t="n">
        <x:v>0</x:v>
      </x:c>
      <x:c r="G7" s="219" t="str">
        <x:f>IF(E7="","",MAX(0,E7-F7))</x:f>
      </x:c>
      <x:c r="H7" t="str">
        <x:v>甲（申告書あり）</x:v>
      </x:c>
      <x:c r="I7" s="223" t="n">
        <x:v>0</x:v>
      </x:c>
      <x:c r="J7" s="219" t="str">
        <x:f>IF(G7="","",IF(H7="乙（提出なし）",ROUNDDOWN(INDEX('計算用税額表'!$E$2:$E$242,M7)+MAX(0,G7-INDEX('計算用税額表'!$D$2:$D$242,M7))*INDEX('計算用税額表'!$F$2:$F$242,M7),0),MAX(0,ROUNDDOWN(INDEX('計算用税額表'!$G$2:$N$242,M7,MIN(MAX(I7,0),7)+1)+MAX(0,G7-INDEX('計算用税額表'!$A$2:$A$242,M7))*INDEX('計算用税額表'!$C$2:$C$242,M7),0)-MAX(I7-7,0)*1610)))</x:f>
      </x:c>
      <x:c r="K7" s="219" t="str">
        <x:f>IF(E7="","",E7-J7)</x:f>
      </x:c>
      <x:c r="L7" t="str"/>
      <x:c r="M7" t="str">
        <x:f>IF(G7="","",MATCH(G7,'計算用税額表'!$A$2:$A$242,1))</x:f>
      </x:c>
      <x:c r="N7" t="str">
        <x:v>スタッフC</x:v>
      </x:c>
      <x:c r="O7" s="219" t="n">
        <x:f>E7+E10+E13+E16+E19+E22+E25+E28+E31+E34+E37+E40</x:f>
        <x:v>0</x:v>
      </x:c>
      <x:c r="P7" s="219" t="n">
        <x:f>J7+J10+J13+J16+J19+J22+J25+J28+J31+J34+J37+J40</x:f>
        <x:v>0</x:v>
      </x:c>
      <x:c r="Q7" s="219" t="n">
        <x:f>K7+K10+K13+K16+K19+K22+K25+K28+K31+K34+K37+K40</x:f>
        <x:v>0</x:v>
      </x:c>
    </x:row>
    <x:row r="8">
      <x:c r="A8" t="str">
        <x:v>2026/2/25</x:v>
      </x:c>
      <x:c r="B8" t="str">
        <x:v>スタッフA</x:v>
      </x:c>
      <x:c r="C8" s="219"/>
      <x:c r="D8" s="221" t="n">
        <x:v>0.1</x:v>
      </x:c>
      <x:c r="E8" s="219" t="str">
        <x:f>IF(C8="","",ROUND(C8*D8,0))</x:f>
      </x:c>
      <x:c r="F8" s="219" t="n">
        <x:v>0</x:v>
      </x:c>
      <x:c r="G8" s="219" t="str">
        <x:f>IF(E8="","",MAX(0,E8-F8))</x:f>
      </x:c>
      <x:c r="H8" t="str">
        <x:v>甲（申告書あり）</x:v>
      </x:c>
      <x:c r="I8" s="223" t="n">
        <x:v>0</x:v>
      </x:c>
      <x:c r="J8" s="219" t="str">
        <x:f>IF(G8="","",IF(H8="乙（提出なし）",ROUNDDOWN(INDEX('計算用税額表'!$E$2:$E$242,M8)+MAX(0,G8-INDEX('計算用税額表'!$D$2:$D$242,M8))*INDEX('計算用税額表'!$F$2:$F$242,M8),0),MAX(0,ROUNDDOWN(INDEX('計算用税額表'!$G$2:$N$242,M8,MIN(MAX(I8,0),7)+1)+MAX(0,G8-INDEX('計算用税額表'!$A$2:$A$242,M8))*INDEX('計算用税額表'!$C$2:$C$242,M8),0)-MAX(I8-7,0)*1610)))</x:f>
      </x:c>
      <x:c r="K8" s="219" t="str">
        <x:f>IF(E8="","",E8-J8)</x:f>
      </x:c>
      <x:c r="L8" t="str"/>
      <x:c r="M8" t="str">
        <x:f>IF(G8="","",MATCH(G8,'計算用税額表'!$A$2:$A$242,1))</x:f>
      </x:c>
      <x:c r="O8" s="219"/>
      <x:c r="P8" s="219"/>
      <x:c r="Q8" s="219"/>
    </x:row>
    <x:row r="9">
      <x:c r="A9" t="str">
        <x:v>2026/2/25</x:v>
      </x:c>
      <x:c r="B9" t="str">
        <x:v>スタッフB</x:v>
      </x:c>
      <x:c r="C9" s="219"/>
      <x:c r="D9" s="221" t="n">
        <x:v>0.1</x:v>
      </x:c>
      <x:c r="E9" s="219" t="str">
        <x:f>IF(C9="","",ROUND(C9*D9,0))</x:f>
      </x:c>
      <x:c r="F9" s="219" t="n">
        <x:v>0</x:v>
      </x:c>
      <x:c r="G9" s="219" t="str">
        <x:f>IF(E9="","",MAX(0,E9-F9))</x:f>
      </x:c>
      <x:c r="H9" t="str">
        <x:v>甲（申告書あり）</x:v>
      </x:c>
      <x:c r="I9" s="223" t="n">
        <x:v>0</x:v>
      </x:c>
      <x:c r="J9" s="219" t="str">
        <x:f>IF(G9="","",IF(H9="乙（提出なし）",ROUNDDOWN(INDEX('計算用税額表'!$E$2:$E$242,M9)+MAX(0,G9-INDEX('計算用税額表'!$D$2:$D$242,M9))*INDEX('計算用税額表'!$F$2:$F$242,M9),0),MAX(0,ROUNDDOWN(INDEX('計算用税額表'!$G$2:$N$242,M9,MIN(MAX(I9,0),7)+1)+MAX(0,G9-INDEX('計算用税額表'!$A$2:$A$242,M9))*INDEX('計算用税額表'!$C$2:$C$242,M9),0)-MAX(I9-7,0)*1610)))</x:f>
      </x:c>
      <x:c r="K9" s="219" t="str">
        <x:f>IF(E9="","",E9-J9)</x:f>
      </x:c>
      <x:c r="L9" t="str"/>
      <x:c r="M9" t="str">
        <x:f>IF(G9="","",MATCH(G9,'計算用税額表'!$A$2:$A$242,1))</x:f>
      </x:c>
      <x:c r="O9" s="219"/>
      <x:c r="P9" s="219"/>
      <x:c r="Q9" s="219"/>
    </x:row>
    <x:row r="10">
      <x:c r="A10" t="str">
        <x:v>2026/2/25</x:v>
      </x:c>
      <x:c r="B10" t="str">
        <x:v>スタッフC</x:v>
      </x:c>
      <x:c r="C10" s="219"/>
      <x:c r="D10" s="221" t="n">
        <x:v>0.1</x:v>
      </x:c>
      <x:c r="E10" s="219" t="str">
        <x:f>IF(C10="","",ROUND(C10*D10,0))</x:f>
      </x:c>
      <x:c r="F10" s="219" t="n">
        <x:v>0</x:v>
      </x:c>
      <x:c r="G10" s="219" t="str">
        <x:f>IF(E10="","",MAX(0,E10-F10))</x:f>
      </x:c>
      <x:c r="H10" t="str">
        <x:v>甲（申告書あり）</x:v>
      </x:c>
      <x:c r="I10" s="223" t="n">
        <x:v>0</x:v>
      </x:c>
      <x:c r="J10" s="219" t="str">
        <x:f>IF(G10="","",IF(H10="乙（提出なし）",ROUNDDOWN(INDEX('計算用税額表'!$E$2:$E$242,M10)+MAX(0,G10-INDEX('計算用税額表'!$D$2:$D$242,M10))*INDEX('計算用税額表'!$F$2:$F$242,M10),0),MAX(0,ROUNDDOWN(INDEX('計算用税額表'!$G$2:$N$242,M10,MIN(MAX(I10,0),7)+1)+MAX(0,G10-INDEX('計算用税額表'!$A$2:$A$242,M10))*INDEX('計算用税額表'!$C$2:$C$242,M10),0)-MAX(I10-7,0)*1610)))</x:f>
      </x:c>
      <x:c r="K10" s="219" t="str">
        <x:f>IF(E10="","",E10-J10)</x:f>
      </x:c>
      <x:c r="L10" t="str"/>
      <x:c r="M10" t="str">
        <x:f>IF(G10="","",MATCH(G10,'計算用税額表'!$A$2:$A$242,1))</x:f>
      </x:c>
      <x:c r="O10" s="219"/>
      <x:c r="P10" s="219"/>
      <x:c r="Q10" s="219"/>
    </x:row>
    <x:row r="11">
      <x:c r="A11" t="str">
        <x:v>2026/3/25</x:v>
      </x:c>
      <x:c r="B11" t="str">
        <x:v>スタッフA</x:v>
      </x:c>
      <x:c r="C11" s="219"/>
      <x:c r="D11" s="221" t="n">
        <x:v>0.1</x:v>
      </x:c>
      <x:c r="E11" s="219" t="str">
        <x:f>IF(C11="","",ROUND(C11*D11,0))</x:f>
      </x:c>
      <x:c r="F11" s="219" t="n">
        <x:v>0</x:v>
      </x:c>
      <x:c r="G11" s="219" t="str">
        <x:f>IF(E11="","",MAX(0,E11-F11))</x:f>
      </x:c>
      <x:c r="H11" t="str">
        <x:v>甲（申告書あり）</x:v>
      </x:c>
      <x:c r="I11" s="223" t="n">
        <x:v>0</x:v>
      </x:c>
      <x:c r="J11" s="219" t="str">
        <x:f>IF(G11="","",IF(H11="乙（提出なし）",ROUNDDOWN(INDEX('計算用税額表'!$E$2:$E$242,M11)+MAX(0,G11-INDEX('計算用税額表'!$D$2:$D$242,M11))*INDEX('計算用税額表'!$F$2:$F$242,M11),0),MAX(0,ROUNDDOWN(INDEX('計算用税額表'!$G$2:$N$242,M11,MIN(MAX(I11,0),7)+1)+MAX(0,G11-INDEX('計算用税額表'!$A$2:$A$242,M11))*INDEX('計算用税額表'!$C$2:$C$242,M11),0)-MAX(I11-7,0)*1610)))</x:f>
      </x:c>
      <x:c r="K11" s="219" t="str">
        <x:f>IF(E11="","",E11-J11)</x:f>
      </x:c>
      <x:c r="L11" t="str"/>
      <x:c r="M11" t="str">
        <x:f>IF(G11="","",MATCH(G11,'計算用税額表'!$A$2:$A$242,1))</x:f>
      </x:c>
      <x:c r="O11" s="219"/>
      <x:c r="P11" s="219"/>
      <x:c r="Q11" s="219"/>
    </x:row>
    <x:row r="12">
      <x:c r="A12" t="str">
        <x:v>2026/3/25</x:v>
      </x:c>
      <x:c r="B12" t="str">
        <x:v>スタッフB</x:v>
      </x:c>
      <x:c r="C12" s="219"/>
      <x:c r="D12" s="221" t="n">
        <x:v>0.1</x:v>
      </x:c>
      <x:c r="E12" s="219" t="str">
        <x:f>IF(C12="","",ROUND(C12*D12,0))</x:f>
      </x:c>
      <x:c r="F12" s="219" t="n">
        <x:v>0</x:v>
      </x:c>
      <x:c r="G12" s="219" t="str">
        <x:f>IF(E12="","",MAX(0,E12-F12))</x:f>
      </x:c>
      <x:c r="H12" t="str">
        <x:v>甲（申告書あり）</x:v>
      </x:c>
      <x:c r="I12" s="223" t="n">
        <x:v>0</x:v>
      </x:c>
      <x:c r="J12" s="219" t="str">
        <x:f>IF(G12="","",IF(H12="乙（提出なし）",ROUNDDOWN(INDEX('計算用税額表'!$E$2:$E$242,M12)+MAX(0,G12-INDEX('計算用税額表'!$D$2:$D$242,M12))*INDEX('計算用税額表'!$F$2:$F$242,M12),0),MAX(0,ROUNDDOWN(INDEX('計算用税額表'!$G$2:$N$242,M12,MIN(MAX(I12,0),7)+1)+MAX(0,G12-INDEX('計算用税額表'!$A$2:$A$242,M12))*INDEX('計算用税額表'!$C$2:$C$242,M12),0)-MAX(I12-7,0)*1610)))</x:f>
      </x:c>
      <x:c r="K12" s="219" t="str">
        <x:f>IF(E12="","",E12-J12)</x:f>
      </x:c>
      <x:c r="L12" t="str"/>
      <x:c r="M12" t="str">
        <x:f>IF(G12="","",MATCH(G12,'計算用税額表'!$A$2:$A$242,1))</x:f>
      </x:c>
      <x:c r="O12" s="219"/>
      <x:c r="P12" s="219"/>
      <x:c r="Q12" s="219"/>
    </x:row>
    <x:row r="13">
      <x:c r="A13" t="str">
        <x:v>2026/3/25</x:v>
      </x:c>
      <x:c r="B13" t="str">
        <x:v>スタッフC</x:v>
      </x:c>
      <x:c r="C13" s="219"/>
      <x:c r="D13" s="221" t="n">
        <x:v>0.1</x:v>
      </x:c>
      <x:c r="E13" s="219" t="str">
        <x:f>IF(C13="","",ROUND(C13*D13,0))</x:f>
      </x:c>
      <x:c r="F13" s="219" t="n">
        <x:v>0</x:v>
      </x:c>
      <x:c r="G13" s="219" t="str">
        <x:f>IF(E13="","",MAX(0,E13-F13))</x:f>
      </x:c>
      <x:c r="H13" t="str">
        <x:v>甲（申告書あり）</x:v>
      </x:c>
      <x:c r="I13" s="223" t="n">
        <x:v>0</x:v>
      </x:c>
      <x:c r="J13" s="219" t="str">
        <x:f>IF(G13="","",IF(H13="乙（提出なし）",ROUNDDOWN(INDEX('計算用税額表'!$E$2:$E$242,M13)+MAX(0,G13-INDEX('計算用税額表'!$D$2:$D$242,M13))*INDEX('計算用税額表'!$F$2:$F$242,M13),0),MAX(0,ROUNDDOWN(INDEX('計算用税額表'!$G$2:$N$242,M13,MIN(MAX(I13,0),7)+1)+MAX(0,G13-INDEX('計算用税額表'!$A$2:$A$242,M13))*INDEX('計算用税額表'!$C$2:$C$242,M13),0)-MAX(I13-7,0)*1610)))</x:f>
      </x:c>
      <x:c r="K13" s="219" t="str">
        <x:f>IF(E13="","",E13-J13)</x:f>
      </x:c>
      <x:c r="L13" t="str"/>
      <x:c r="M13" t="str">
        <x:f>IF(G13="","",MATCH(G13,'計算用税額表'!$A$2:$A$242,1))</x:f>
      </x:c>
      <x:c r="O13" s="219"/>
      <x:c r="P13" s="219"/>
      <x:c r="Q13" s="219"/>
    </x:row>
    <x:row r="14">
      <x:c r="A14" t="str">
        <x:v>2026/4/25</x:v>
      </x:c>
      <x:c r="B14" t="str">
        <x:v>スタッフA</x:v>
      </x:c>
      <x:c r="C14" s="219"/>
      <x:c r="D14" s="221" t="n">
        <x:v>0.1</x:v>
      </x:c>
      <x:c r="E14" s="219" t="str">
        <x:f>IF(C14="","",ROUND(C14*D14,0))</x:f>
      </x:c>
      <x:c r="F14" s="219" t="n">
        <x:v>0</x:v>
      </x:c>
      <x:c r="G14" s="219" t="str">
        <x:f>IF(E14="","",MAX(0,E14-F14))</x:f>
      </x:c>
      <x:c r="H14" t="str">
        <x:v>甲（申告書あり）</x:v>
      </x:c>
      <x:c r="I14" s="223" t="n">
        <x:v>0</x:v>
      </x:c>
      <x:c r="J14" s="219" t="str">
        <x:f>IF(G14="","",IF(H14="乙（提出なし）",ROUNDDOWN(INDEX('計算用税額表'!$E$2:$E$242,M14)+MAX(0,G14-INDEX('計算用税額表'!$D$2:$D$242,M14))*INDEX('計算用税額表'!$F$2:$F$242,M14),0),MAX(0,ROUNDDOWN(INDEX('計算用税額表'!$G$2:$N$242,M14,MIN(MAX(I14,0),7)+1)+MAX(0,G14-INDEX('計算用税額表'!$A$2:$A$242,M14))*INDEX('計算用税額表'!$C$2:$C$242,M14),0)-MAX(I14-7,0)*1610)))</x:f>
      </x:c>
      <x:c r="K14" s="219" t="str">
        <x:f>IF(E14="","",E14-J14)</x:f>
      </x:c>
      <x:c r="L14" t="str"/>
      <x:c r="M14" t="str">
        <x:f>IF(G14="","",MATCH(G14,'計算用税額表'!$A$2:$A$242,1))</x:f>
      </x:c>
      <x:c r="O14" s="219"/>
      <x:c r="P14" s="219"/>
      <x:c r="Q14" s="219"/>
    </x:row>
    <x:row r="15">
      <x:c r="A15" t="str">
        <x:v>2026/4/25</x:v>
      </x:c>
      <x:c r="B15" t="str">
        <x:v>スタッフB</x:v>
      </x:c>
      <x:c r="C15" s="219"/>
      <x:c r="D15" s="221" t="n">
        <x:v>0.1</x:v>
      </x:c>
      <x:c r="E15" s="219" t="str">
        <x:f>IF(C15="","",ROUND(C15*D15,0))</x:f>
      </x:c>
      <x:c r="F15" s="219" t="n">
        <x:v>0</x:v>
      </x:c>
      <x:c r="G15" s="219" t="str">
        <x:f>IF(E15="","",MAX(0,E15-F15))</x:f>
      </x:c>
      <x:c r="H15" t="str">
        <x:v>甲（申告書あり）</x:v>
      </x:c>
      <x:c r="I15" s="223" t="n">
        <x:v>0</x:v>
      </x:c>
      <x:c r="J15" s="219" t="str">
        <x:f>IF(G15="","",IF(H15="乙（提出なし）",ROUNDDOWN(INDEX('計算用税額表'!$E$2:$E$242,M15)+MAX(0,G15-INDEX('計算用税額表'!$D$2:$D$242,M15))*INDEX('計算用税額表'!$F$2:$F$242,M15),0),MAX(0,ROUNDDOWN(INDEX('計算用税額表'!$G$2:$N$242,M15,MIN(MAX(I15,0),7)+1)+MAX(0,G15-INDEX('計算用税額表'!$A$2:$A$242,M15))*INDEX('計算用税額表'!$C$2:$C$242,M15),0)-MAX(I15-7,0)*1610)))</x:f>
      </x:c>
      <x:c r="K15" s="219" t="str">
        <x:f>IF(E15="","",E15-J15)</x:f>
      </x:c>
      <x:c r="L15" t="str"/>
      <x:c r="M15" t="str">
        <x:f>IF(G15="","",MATCH(G15,'計算用税額表'!$A$2:$A$242,1))</x:f>
      </x:c>
      <x:c r="O15" s="219"/>
      <x:c r="P15" s="219"/>
      <x:c r="Q15" s="219"/>
    </x:row>
    <x:row r="16">
      <x:c r="A16" t="str">
        <x:v>2026/4/25</x:v>
      </x:c>
      <x:c r="B16" t="str">
        <x:v>スタッフC</x:v>
      </x:c>
      <x:c r="C16" s="219"/>
      <x:c r="D16" s="221" t="n">
        <x:v>0.1</x:v>
      </x:c>
      <x:c r="E16" s="219" t="str">
        <x:f>IF(C16="","",ROUND(C16*D16,0))</x:f>
      </x:c>
      <x:c r="F16" s="219" t="n">
        <x:v>0</x:v>
      </x:c>
      <x:c r="G16" s="219" t="str">
        <x:f>IF(E16="","",MAX(0,E16-F16))</x:f>
      </x:c>
      <x:c r="H16" t="str">
        <x:v>甲（申告書あり）</x:v>
      </x:c>
      <x:c r="I16" s="223" t="n">
        <x:v>0</x:v>
      </x:c>
      <x:c r="J16" s="219" t="str">
        <x:f>IF(G16="","",IF(H16="乙（提出なし）",ROUNDDOWN(INDEX('計算用税額表'!$E$2:$E$242,M16)+MAX(0,G16-INDEX('計算用税額表'!$D$2:$D$242,M16))*INDEX('計算用税額表'!$F$2:$F$242,M16),0),MAX(0,ROUNDDOWN(INDEX('計算用税額表'!$G$2:$N$242,M16,MIN(MAX(I16,0),7)+1)+MAX(0,G16-INDEX('計算用税額表'!$A$2:$A$242,M16))*INDEX('計算用税額表'!$C$2:$C$242,M16),0)-MAX(I16-7,0)*1610)))</x:f>
      </x:c>
      <x:c r="K16" s="219" t="str">
        <x:f>IF(E16="","",E16-J16)</x:f>
      </x:c>
      <x:c r="L16" t="str"/>
      <x:c r="M16" t="str">
        <x:f>IF(G16="","",MATCH(G16,'計算用税額表'!$A$2:$A$242,1))</x:f>
      </x:c>
      <x:c r="O16" s="219"/>
      <x:c r="P16" s="219"/>
      <x:c r="Q16" s="219"/>
    </x:row>
    <x:row r="17">
      <x:c r="A17" t="str">
        <x:v>2026/5/25</x:v>
      </x:c>
      <x:c r="B17" t="str">
        <x:v>スタッフA</x:v>
      </x:c>
      <x:c r="C17" s="219"/>
      <x:c r="D17" s="221" t="n">
        <x:v>0.1</x:v>
      </x:c>
      <x:c r="E17" s="219" t="str">
        <x:f>IF(C17="","",ROUND(C17*D17,0))</x:f>
      </x:c>
      <x:c r="F17" s="219" t="n">
        <x:v>0</x:v>
      </x:c>
      <x:c r="G17" s="219" t="str">
        <x:f>IF(E17="","",MAX(0,E17-F17))</x:f>
      </x:c>
      <x:c r="H17" t="str">
        <x:v>甲（申告書あり）</x:v>
      </x:c>
      <x:c r="I17" s="223" t="n">
        <x:v>0</x:v>
      </x:c>
      <x:c r="J17" s="219" t="str">
        <x:f>IF(G17="","",IF(H17="乙（提出なし）",ROUNDDOWN(INDEX('計算用税額表'!$E$2:$E$242,M17)+MAX(0,G17-INDEX('計算用税額表'!$D$2:$D$242,M17))*INDEX('計算用税額表'!$F$2:$F$242,M17),0),MAX(0,ROUNDDOWN(INDEX('計算用税額表'!$G$2:$N$242,M17,MIN(MAX(I17,0),7)+1)+MAX(0,G17-INDEX('計算用税額表'!$A$2:$A$242,M17))*INDEX('計算用税額表'!$C$2:$C$242,M17),0)-MAX(I17-7,0)*1610)))</x:f>
      </x:c>
      <x:c r="K17" s="219" t="str">
        <x:f>IF(E17="","",E17-J17)</x:f>
      </x:c>
      <x:c r="L17" t="str"/>
      <x:c r="M17" t="str">
        <x:f>IF(G17="","",MATCH(G17,'計算用税額表'!$A$2:$A$242,1))</x:f>
      </x:c>
      <x:c r="O17" s="219"/>
      <x:c r="P17" s="219"/>
      <x:c r="Q17" s="219"/>
    </x:row>
    <x:row r="18">
      <x:c r="A18" t="str">
        <x:v>2026/5/25</x:v>
      </x:c>
      <x:c r="B18" t="str">
        <x:v>スタッフB</x:v>
      </x:c>
      <x:c r="C18" s="219"/>
      <x:c r="D18" s="221" t="n">
        <x:v>0.1</x:v>
      </x:c>
      <x:c r="E18" s="219" t="str">
        <x:f>IF(C18="","",ROUND(C18*D18,0))</x:f>
      </x:c>
      <x:c r="F18" s="219" t="n">
        <x:v>0</x:v>
      </x:c>
      <x:c r="G18" s="219" t="str">
        <x:f>IF(E18="","",MAX(0,E18-F18))</x:f>
      </x:c>
      <x:c r="H18" t="str">
        <x:v>甲（申告書あり）</x:v>
      </x:c>
      <x:c r="I18" s="223" t="n">
        <x:v>0</x:v>
      </x:c>
      <x:c r="J18" s="219" t="str">
        <x:f>IF(G18="","",IF(H18="乙（提出なし）",ROUNDDOWN(INDEX('計算用税額表'!$E$2:$E$242,M18)+MAX(0,G18-INDEX('計算用税額表'!$D$2:$D$242,M18))*INDEX('計算用税額表'!$F$2:$F$242,M18),0),MAX(0,ROUNDDOWN(INDEX('計算用税額表'!$G$2:$N$242,M18,MIN(MAX(I18,0),7)+1)+MAX(0,G18-INDEX('計算用税額表'!$A$2:$A$242,M18))*INDEX('計算用税額表'!$C$2:$C$242,M18),0)-MAX(I18-7,0)*1610)))</x:f>
      </x:c>
      <x:c r="K18" s="219" t="str">
        <x:f>IF(E18="","",E18-J18)</x:f>
      </x:c>
      <x:c r="L18" t="str"/>
      <x:c r="M18" t="str">
        <x:f>IF(G18="","",MATCH(G18,'計算用税額表'!$A$2:$A$242,1))</x:f>
      </x:c>
      <x:c r="O18" s="219"/>
      <x:c r="P18" s="219"/>
      <x:c r="Q18" s="219"/>
    </x:row>
    <x:row r="19">
      <x:c r="A19" t="str">
        <x:v>2026/5/25</x:v>
      </x:c>
      <x:c r="B19" t="str">
        <x:v>スタッフC</x:v>
      </x:c>
      <x:c r="C19" s="219"/>
      <x:c r="D19" s="221" t="n">
        <x:v>0.1</x:v>
      </x:c>
      <x:c r="E19" s="219" t="str">
        <x:f>IF(C19="","",ROUND(C19*D19,0))</x:f>
      </x:c>
      <x:c r="F19" s="219" t="n">
        <x:v>0</x:v>
      </x:c>
      <x:c r="G19" s="219" t="str">
        <x:f>IF(E19="","",MAX(0,E19-F19))</x:f>
      </x:c>
      <x:c r="H19" t="str">
        <x:v>甲（申告書あり）</x:v>
      </x:c>
      <x:c r="I19" s="223" t="n">
        <x:v>0</x:v>
      </x:c>
      <x:c r="J19" s="219" t="str">
        <x:f>IF(G19="","",IF(H19="乙（提出なし）",ROUNDDOWN(INDEX('計算用税額表'!$E$2:$E$242,M19)+MAX(0,G19-INDEX('計算用税額表'!$D$2:$D$242,M19))*INDEX('計算用税額表'!$F$2:$F$242,M19),0),MAX(0,ROUNDDOWN(INDEX('計算用税額表'!$G$2:$N$242,M19,MIN(MAX(I19,0),7)+1)+MAX(0,G19-INDEX('計算用税額表'!$A$2:$A$242,M19))*INDEX('計算用税額表'!$C$2:$C$242,M19),0)-MAX(I19-7,0)*1610)))</x:f>
      </x:c>
      <x:c r="K19" s="219" t="str">
        <x:f>IF(E19="","",E19-J19)</x:f>
      </x:c>
      <x:c r="L19" t="str"/>
      <x:c r="M19" t="str">
        <x:f>IF(G19="","",MATCH(G19,'計算用税額表'!$A$2:$A$242,1))</x:f>
      </x:c>
      <x:c r="O19" s="219"/>
      <x:c r="P19" s="219"/>
      <x:c r="Q19" s="219"/>
    </x:row>
    <x:row r="20">
      <x:c r="A20" t="str">
        <x:v>2026/6/25</x:v>
      </x:c>
      <x:c r="B20" t="str">
        <x:v>スタッフA</x:v>
      </x:c>
      <x:c r="C20" s="219"/>
      <x:c r="D20" s="221" t="n">
        <x:v>0.1</x:v>
      </x:c>
      <x:c r="E20" s="219" t="str">
        <x:f>IF(C20="","",ROUND(C20*D20,0))</x:f>
      </x:c>
      <x:c r="F20" s="219" t="n">
        <x:v>0</x:v>
      </x:c>
      <x:c r="G20" s="219" t="str">
        <x:f>IF(E20="","",MAX(0,E20-F20))</x:f>
      </x:c>
      <x:c r="H20" t="str">
        <x:v>甲（申告書あり）</x:v>
      </x:c>
      <x:c r="I20" s="223" t="n">
        <x:v>0</x:v>
      </x:c>
      <x:c r="J20" s="219" t="str">
        <x:f>IF(G20="","",IF(H20="乙（提出なし）",ROUNDDOWN(INDEX('計算用税額表'!$E$2:$E$242,M20)+MAX(0,G20-INDEX('計算用税額表'!$D$2:$D$242,M20))*INDEX('計算用税額表'!$F$2:$F$242,M20),0),MAX(0,ROUNDDOWN(INDEX('計算用税額表'!$G$2:$N$242,M20,MIN(MAX(I20,0),7)+1)+MAX(0,G20-INDEX('計算用税額表'!$A$2:$A$242,M20))*INDEX('計算用税額表'!$C$2:$C$242,M20),0)-MAX(I20-7,0)*1610)))</x:f>
      </x:c>
      <x:c r="K20" s="219" t="str">
        <x:f>IF(E20="","",E20-J20)</x:f>
      </x:c>
      <x:c r="L20" t="str"/>
      <x:c r="M20" t="str">
        <x:f>IF(G20="","",MATCH(G20,'計算用税額表'!$A$2:$A$242,1))</x:f>
      </x:c>
      <x:c r="O20" s="219"/>
      <x:c r="P20" s="219"/>
      <x:c r="Q20" s="219"/>
    </x:row>
    <x:row r="21">
      <x:c r="A21" t="str">
        <x:v>2026/6/25</x:v>
      </x:c>
      <x:c r="B21" t="str">
        <x:v>スタッフB</x:v>
      </x:c>
      <x:c r="C21" s="219"/>
      <x:c r="D21" s="221" t="n">
        <x:v>0.1</x:v>
      </x:c>
      <x:c r="E21" s="219" t="str">
        <x:f>IF(C21="","",ROUND(C21*D21,0))</x:f>
      </x:c>
      <x:c r="F21" s="219" t="n">
        <x:v>0</x:v>
      </x:c>
      <x:c r="G21" s="219" t="str">
        <x:f>IF(E21="","",MAX(0,E21-F21))</x:f>
      </x:c>
      <x:c r="H21" t="str">
        <x:v>甲（申告書あり）</x:v>
      </x:c>
      <x:c r="I21" s="223" t="n">
        <x:v>0</x:v>
      </x:c>
      <x:c r="J21" s="219" t="str">
        <x:f>IF(G21="","",IF(H21="乙（提出なし）",ROUNDDOWN(INDEX('計算用税額表'!$E$2:$E$242,M21)+MAX(0,G21-INDEX('計算用税額表'!$D$2:$D$242,M21))*INDEX('計算用税額表'!$F$2:$F$242,M21),0),MAX(0,ROUNDDOWN(INDEX('計算用税額表'!$G$2:$N$242,M21,MIN(MAX(I21,0),7)+1)+MAX(0,G21-INDEX('計算用税額表'!$A$2:$A$242,M21))*INDEX('計算用税額表'!$C$2:$C$242,M21),0)-MAX(I21-7,0)*1610)))</x:f>
      </x:c>
      <x:c r="K21" s="219" t="str">
        <x:f>IF(E21="","",E21-J21)</x:f>
      </x:c>
      <x:c r="L21" t="str"/>
      <x:c r="M21" t="str">
        <x:f>IF(G21="","",MATCH(G21,'計算用税額表'!$A$2:$A$242,1))</x:f>
      </x:c>
      <x:c r="O21" s="219"/>
      <x:c r="P21" s="219"/>
      <x:c r="Q21" s="219"/>
    </x:row>
    <x:row r="22">
      <x:c r="A22" t="str">
        <x:v>2026/6/25</x:v>
      </x:c>
      <x:c r="B22" t="str">
        <x:v>スタッフC</x:v>
      </x:c>
      <x:c r="C22" s="219"/>
      <x:c r="D22" s="221" t="n">
        <x:v>0.1</x:v>
      </x:c>
      <x:c r="E22" s="219" t="str">
        <x:f>IF(C22="","",ROUND(C22*D22,0))</x:f>
      </x:c>
      <x:c r="F22" s="219" t="n">
        <x:v>0</x:v>
      </x:c>
      <x:c r="G22" s="219" t="str">
        <x:f>IF(E22="","",MAX(0,E22-F22))</x:f>
      </x:c>
      <x:c r="H22" t="str">
        <x:v>甲（申告書あり）</x:v>
      </x:c>
      <x:c r="I22" s="223" t="n">
        <x:v>0</x:v>
      </x:c>
      <x:c r="J22" s="219" t="str">
        <x:f>IF(G22="","",IF(H22="乙（提出なし）",ROUNDDOWN(INDEX('計算用税額表'!$E$2:$E$242,M22)+MAX(0,G22-INDEX('計算用税額表'!$D$2:$D$242,M22))*INDEX('計算用税額表'!$F$2:$F$242,M22),0),MAX(0,ROUNDDOWN(INDEX('計算用税額表'!$G$2:$N$242,M22,MIN(MAX(I22,0),7)+1)+MAX(0,G22-INDEX('計算用税額表'!$A$2:$A$242,M22))*INDEX('計算用税額表'!$C$2:$C$242,M22),0)-MAX(I22-7,0)*1610)))</x:f>
      </x:c>
      <x:c r="K22" s="219" t="str">
        <x:f>IF(E22="","",E22-J22)</x:f>
      </x:c>
      <x:c r="L22" t="str"/>
      <x:c r="M22" t="str">
        <x:f>IF(G22="","",MATCH(G22,'計算用税額表'!$A$2:$A$242,1))</x:f>
      </x:c>
      <x:c r="O22" s="219"/>
      <x:c r="P22" s="219"/>
      <x:c r="Q22" s="219"/>
    </x:row>
    <x:row r="23">
      <x:c r="A23" t="str">
        <x:v>2026/7/25</x:v>
      </x:c>
      <x:c r="B23" t="str">
        <x:v>スタッフA</x:v>
      </x:c>
      <x:c r="C23" s="219"/>
      <x:c r="D23" s="221" t="n">
        <x:v>0.1</x:v>
      </x:c>
      <x:c r="E23" s="219" t="str">
        <x:f>IF(C23="","",ROUND(C23*D23,0))</x:f>
      </x:c>
      <x:c r="F23" s="219" t="n">
        <x:v>0</x:v>
      </x:c>
      <x:c r="G23" s="219" t="str">
        <x:f>IF(E23="","",MAX(0,E23-F23))</x:f>
      </x:c>
      <x:c r="H23" t="str">
        <x:v>甲（申告書あり）</x:v>
      </x:c>
      <x:c r="I23" s="223" t="n">
        <x:v>0</x:v>
      </x:c>
      <x:c r="J23" s="219" t="str">
        <x:f>IF(G23="","",IF(H23="乙（提出なし）",ROUNDDOWN(INDEX('計算用税額表'!$E$2:$E$242,M23)+MAX(0,G23-INDEX('計算用税額表'!$D$2:$D$242,M23))*INDEX('計算用税額表'!$F$2:$F$242,M23),0),MAX(0,ROUNDDOWN(INDEX('計算用税額表'!$G$2:$N$242,M23,MIN(MAX(I23,0),7)+1)+MAX(0,G23-INDEX('計算用税額表'!$A$2:$A$242,M23))*INDEX('計算用税額表'!$C$2:$C$242,M23),0)-MAX(I23-7,0)*1610)))</x:f>
      </x:c>
      <x:c r="K23" s="219" t="str">
        <x:f>IF(E23="","",E23-J23)</x:f>
      </x:c>
      <x:c r="L23" t="str"/>
      <x:c r="M23" t="str">
        <x:f>IF(G23="","",MATCH(G23,'計算用税額表'!$A$2:$A$242,1))</x:f>
      </x:c>
      <x:c r="O23" s="219"/>
      <x:c r="P23" s="219"/>
      <x:c r="Q23" s="219"/>
    </x:row>
    <x:row r="24">
      <x:c r="A24" t="str">
        <x:v>2026/7/25</x:v>
      </x:c>
      <x:c r="B24" t="str">
        <x:v>スタッフB</x:v>
      </x:c>
      <x:c r="C24" s="219"/>
      <x:c r="D24" s="221" t="n">
        <x:v>0.1</x:v>
      </x:c>
      <x:c r="E24" s="219" t="str">
        <x:f>IF(C24="","",ROUND(C24*D24,0))</x:f>
      </x:c>
      <x:c r="F24" s="219" t="n">
        <x:v>0</x:v>
      </x:c>
      <x:c r="G24" s="219" t="str">
        <x:f>IF(E24="","",MAX(0,E24-F24))</x:f>
      </x:c>
      <x:c r="H24" t="str">
        <x:v>甲（申告書あり）</x:v>
      </x:c>
      <x:c r="I24" s="223" t="n">
        <x:v>0</x:v>
      </x:c>
      <x:c r="J24" s="219" t="str">
        <x:f>IF(G24="","",IF(H24="乙（提出なし）",ROUNDDOWN(INDEX('計算用税額表'!$E$2:$E$242,M24)+MAX(0,G24-INDEX('計算用税額表'!$D$2:$D$242,M24))*INDEX('計算用税額表'!$F$2:$F$242,M24),0),MAX(0,ROUNDDOWN(INDEX('計算用税額表'!$G$2:$N$242,M24,MIN(MAX(I24,0),7)+1)+MAX(0,G24-INDEX('計算用税額表'!$A$2:$A$242,M24))*INDEX('計算用税額表'!$C$2:$C$242,M24),0)-MAX(I24-7,0)*1610)))</x:f>
      </x:c>
      <x:c r="K24" s="219" t="str">
        <x:f>IF(E24="","",E24-J24)</x:f>
      </x:c>
      <x:c r="L24" t="str"/>
      <x:c r="M24" t="str">
        <x:f>IF(G24="","",MATCH(G24,'計算用税額表'!$A$2:$A$242,1))</x:f>
      </x:c>
      <x:c r="O24" s="219"/>
      <x:c r="P24" s="219"/>
      <x:c r="Q24" s="219"/>
    </x:row>
    <x:row r="25">
      <x:c r="A25" t="str">
        <x:v>2026/7/25</x:v>
      </x:c>
      <x:c r="B25" t="str">
        <x:v>スタッフC</x:v>
      </x:c>
      <x:c r="C25" s="219"/>
      <x:c r="D25" s="221" t="n">
        <x:v>0.1</x:v>
      </x:c>
      <x:c r="E25" s="219" t="str">
        <x:f>IF(C25="","",ROUND(C25*D25,0))</x:f>
      </x:c>
      <x:c r="F25" s="219" t="n">
        <x:v>0</x:v>
      </x:c>
      <x:c r="G25" s="219" t="str">
        <x:f>IF(E25="","",MAX(0,E25-F25))</x:f>
      </x:c>
      <x:c r="H25" t="str">
        <x:v>甲（申告書あり）</x:v>
      </x:c>
      <x:c r="I25" s="223" t="n">
        <x:v>0</x:v>
      </x:c>
      <x:c r="J25" s="219" t="str">
        <x:f>IF(G25="","",IF(H25="乙（提出なし）",ROUNDDOWN(INDEX('計算用税額表'!$E$2:$E$242,M25)+MAX(0,G25-INDEX('計算用税額表'!$D$2:$D$242,M25))*INDEX('計算用税額表'!$F$2:$F$242,M25),0),MAX(0,ROUNDDOWN(INDEX('計算用税額表'!$G$2:$N$242,M25,MIN(MAX(I25,0),7)+1)+MAX(0,G25-INDEX('計算用税額表'!$A$2:$A$242,M25))*INDEX('計算用税額表'!$C$2:$C$242,M25),0)-MAX(I25-7,0)*1610)))</x:f>
      </x:c>
      <x:c r="K25" s="219" t="str">
        <x:f>IF(E25="","",E25-J25)</x:f>
      </x:c>
      <x:c r="L25" t="str"/>
      <x:c r="M25" t="str">
        <x:f>IF(G25="","",MATCH(G25,'計算用税額表'!$A$2:$A$242,1))</x:f>
      </x:c>
      <x:c r="O25" s="219"/>
      <x:c r="P25" s="219"/>
      <x:c r="Q25" s="219"/>
    </x:row>
    <x:row r="26">
      <x:c r="A26" t="str">
        <x:v>2026/8/25</x:v>
      </x:c>
      <x:c r="B26" t="str">
        <x:v>スタッフA</x:v>
      </x:c>
      <x:c r="C26" s="219"/>
      <x:c r="D26" s="221" t="n">
        <x:v>0.1</x:v>
      </x:c>
      <x:c r="E26" s="219" t="str">
        <x:f>IF(C26="","",ROUND(C26*D26,0))</x:f>
      </x:c>
      <x:c r="F26" s="219" t="n">
        <x:v>0</x:v>
      </x:c>
      <x:c r="G26" s="219" t="str">
        <x:f>IF(E26="","",MAX(0,E26-F26))</x:f>
      </x:c>
      <x:c r="H26" t="str">
        <x:v>甲（申告書あり）</x:v>
      </x:c>
      <x:c r="I26" s="223" t="n">
        <x:v>0</x:v>
      </x:c>
      <x:c r="J26" s="219" t="str">
        <x:f>IF(G26="","",IF(H26="乙（提出なし）",ROUNDDOWN(INDEX('計算用税額表'!$E$2:$E$242,M26)+MAX(0,G26-INDEX('計算用税額表'!$D$2:$D$242,M26))*INDEX('計算用税額表'!$F$2:$F$242,M26),0),MAX(0,ROUNDDOWN(INDEX('計算用税額表'!$G$2:$N$242,M26,MIN(MAX(I26,0),7)+1)+MAX(0,G26-INDEX('計算用税額表'!$A$2:$A$242,M26))*INDEX('計算用税額表'!$C$2:$C$242,M26),0)-MAX(I26-7,0)*1610)))</x:f>
      </x:c>
      <x:c r="K26" s="219" t="str">
        <x:f>IF(E26="","",E26-J26)</x:f>
      </x:c>
      <x:c r="L26" t="str"/>
      <x:c r="M26" t="str">
        <x:f>IF(G26="","",MATCH(G26,'計算用税額表'!$A$2:$A$242,1))</x:f>
      </x:c>
      <x:c r="O26" s="219"/>
      <x:c r="P26" s="219"/>
      <x:c r="Q26" s="219"/>
    </x:row>
    <x:row r="27">
      <x:c r="A27" t="str">
        <x:v>2026/8/25</x:v>
      </x:c>
      <x:c r="B27" t="str">
        <x:v>スタッフB</x:v>
      </x:c>
      <x:c r="C27" s="219"/>
      <x:c r="D27" s="221" t="n">
        <x:v>0.1</x:v>
      </x:c>
      <x:c r="E27" s="219" t="str">
        <x:f>IF(C27="","",ROUND(C27*D27,0))</x:f>
      </x:c>
      <x:c r="F27" s="219" t="n">
        <x:v>0</x:v>
      </x:c>
      <x:c r="G27" s="219" t="str">
        <x:f>IF(E27="","",MAX(0,E27-F27))</x:f>
      </x:c>
      <x:c r="H27" t="str">
        <x:v>甲（申告書あり）</x:v>
      </x:c>
      <x:c r="I27" s="223" t="n">
        <x:v>0</x:v>
      </x:c>
      <x:c r="J27" s="219" t="str">
        <x:f>IF(G27="","",IF(H27="乙（提出なし）",ROUNDDOWN(INDEX('計算用税額表'!$E$2:$E$242,M27)+MAX(0,G27-INDEX('計算用税額表'!$D$2:$D$242,M27))*INDEX('計算用税額表'!$F$2:$F$242,M27),0),MAX(0,ROUNDDOWN(INDEX('計算用税額表'!$G$2:$N$242,M27,MIN(MAX(I27,0),7)+1)+MAX(0,G27-INDEX('計算用税額表'!$A$2:$A$242,M27))*INDEX('計算用税額表'!$C$2:$C$242,M27),0)-MAX(I27-7,0)*1610)))</x:f>
      </x:c>
      <x:c r="K27" s="219" t="str">
        <x:f>IF(E27="","",E27-J27)</x:f>
      </x:c>
      <x:c r="L27" t="str"/>
      <x:c r="M27" t="str">
        <x:f>IF(G27="","",MATCH(G27,'計算用税額表'!$A$2:$A$242,1))</x:f>
      </x:c>
      <x:c r="O27" s="219"/>
      <x:c r="P27" s="219"/>
      <x:c r="Q27" s="219"/>
    </x:row>
    <x:row r="28">
      <x:c r="A28" t="str">
        <x:v>2026/8/25</x:v>
      </x:c>
      <x:c r="B28" t="str">
        <x:v>スタッフC</x:v>
      </x:c>
      <x:c r="C28" s="219"/>
      <x:c r="D28" s="221" t="n">
        <x:v>0.1</x:v>
      </x:c>
      <x:c r="E28" s="219" t="str">
        <x:f>IF(C28="","",ROUND(C28*D28,0))</x:f>
      </x:c>
      <x:c r="F28" s="219" t="n">
        <x:v>0</x:v>
      </x:c>
      <x:c r="G28" s="219" t="str">
        <x:f>IF(E28="","",MAX(0,E28-F28))</x:f>
      </x:c>
      <x:c r="H28" t="str">
        <x:v>甲（申告書あり）</x:v>
      </x:c>
      <x:c r="I28" s="223" t="n">
        <x:v>0</x:v>
      </x:c>
      <x:c r="J28" s="219" t="str">
        <x:f>IF(G28="","",IF(H28="乙（提出なし）",ROUNDDOWN(INDEX('計算用税額表'!$E$2:$E$242,M28)+MAX(0,G28-INDEX('計算用税額表'!$D$2:$D$242,M28))*INDEX('計算用税額表'!$F$2:$F$242,M28),0),MAX(0,ROUNDDOWN(INDEX('計算用税額表'!$G$2:$N$242,M28,MIN(MAX(I28,0),7)+1)+MAX(0,G28-INDEX('計算用税額表'!$A$2:$A$242,M28))*INDEX('計算用税額表'!$C$2:$C$242,M28),0)-MAX(I28-7,0)*1610)))</x:f>
      </x:c>
      <x:c r="K28" s="219" t="str">
        <x:f>IF(E28="","",E28-J28)</x:f>
      </x:c>
      <x:c r="L28" t="str"/>
      <x:c r="M28" t="str">
        <x:f>IF(G28="","",MATCH(G28,'計算用税額表'!$A$2:$A$242,1))</x:f>
      </x:c>
      <x:c r="O28" s="219"/>
      <x:c r="P28" s="219"/>
      <x:c r="Q28" s="219"/>
    </x:row>
    <x:row r="29">
      <x:c r="A29" t="str">
        <x:v>2026/9/25</x:v>
      </x:c>
      <x:c r="B29" t="str">
        <x:v>スタッフA</x:v>
      </x:c>
      <x:c r="C29" s="219"/>
      <x:c r="D29" s="221" t="n">
        <x:v>0.1</x:v>
      </x:c>
      <x:c r="E29" s="219" t="str">
        <x:f>IF(C29="","",ROUND(C29*D29,0))</x:f>
      </x:c>
      <x:c r="F29" s="219" t="n">
        <x:v>0</x:v>
      </x:c>
      <x:c r="G29" s="219" t="str">
        <x:f>IF(E29="","",MAX(0,E29-F29))</x:f>
      </x:c>
      <x:c r="H29" t="str">
        <x:v>甲（申告書あり）</x:v>
      </x:c>
      <x:c r="I29" s="223" t="n">
        <x:v>0</x:v>
      </x:c>
      <x:c r="J29" s="219" t="str">
        <x:f>IF(G29="","",IF(H29="乙（提出なし）",ROUNDDOWN(INDEX('計算用税額表'!$E$2:$E$242,M29)+MAX(0,G29-INDEX('計算用税額表'!$D$2:$D$242,M29))*INDEX('計算用税額表'!$F$2:$F$242,M29),0),MAX(0,ROUNDDOWN(INDEX('計算用税額表'!$G$2:$N$242,M29,MIN(MAX(I29,0),7)+1)+MAX(0,G29-INDEX('計算用税額表'!$A$2:$A$242,M29))*INDEX('計算用税額表'!$C$2:$C$242,M29),0)-MAX(I29-7,0)*1610)))</x:f>
      </x:c>
      <x:c r="K29" s="219" t="str">
        <x:f>IF(E29="","",E29-J29)</x:f>
      </x:c>
      <x:c r="L29" t="str"/>
      <x:c r="M29" t="str">
        <x:f>IF(G29="","",MATCH(G29,'計算用税額表'!$A$2:$A$242,1))</x:f>
      </x:c>
      <x:c r="O29" s="219"/>
      <x:c r="P29" s="219"/>
      <x:c r="Q29" s="219"/>
    </x:row>
    <x:row r="30">
      <x:c r="A30" t="str">
        <x:v>2026/9/25</x:v>
      </x:c>
      <x:c r="B30" t="str">
        <x:v>スタッフB</x:v>
      </x:c>
      <x:c r="C30" s="219"/>
      <x:c r="D30" s="221" t="n">
        <x:v>0.1</x:v>
      </x:c>
      <x:c r="E30" s="219" t="str">
        <x:f>IF(C30="","",ROUND(C30*D30,0))</x:f>
      </x:c>
      <x:c r="F30" s="219" t="n">
        <x:v>0</x:v>
      </x:c>
      <x:c r="G30" s="219" t="str">
        <x:f>IF(E30="","",MAX(0,E30-F30))</x:f>
      </x:c>
      <x:c r="H30" t="str">
        <x:v>甲（申告書あり）</x:v>
      </x:c>
      <x:c r="I30" s="223" t="n">
        <x:v>0</x:v>
      </x:c>
      <x:c r="J30" s="219" t="str">
        <x:f>IF(G30="","",IF(H30="乙（提出なし）",ROUNDDOWN(INDEX('計算用税額表'!$E$2:$E$242,M30)+MAX(0,G30-INDEX('計算用税額表'!$D$2:$D$242,M30))*INDEX('計算用税額表'!$F$2:$F$242,M30),0),MAX(0,ROUNDDOWN(INDEX('計算用税額表'!$G$2:$N$242,M30,MIN(MAX(I30,0),7)+1)+MAX(0,G30-INDEX('計算用税額表'!$A$2:$A$242,M30))*INDEX('計算用税額表'!$C$2:$C$242,M30),0)-MAX(I30-7,0)*1610)))</x:f>
      </x:c>
      <x:c r="K30" s="219" t="str">
        <x:f>IF(E30="","",E30-J30)</x:f>
      </x:c>
      <x:c r="L30" t="str"/>
      <x:c r="M30" t="str">
        <x:f>IF(G30="","",MATCH(G30,'計算用税額表'!$A$2:$A$242,1))</x:f>
      </x:c>
      <x:c r="O30" s="219"/>
      <x:c r="P30" s="219"/>
      <x:c r="Q30" s="219"/>
    </x:row>
    <x:row r="31">
      <x:c r="A31" t="str">
        <x:v>2026/9/25</x:v>
      </x:c>
      <x:c r="B31" t="str">
        <x:v>スタッフC</x:v>
      </x:c>
      <x:c r="C31" s="219"/>
      <x:c r="D31" s="221" t="n">
        <x:v>0.1</x:v>
      </x:c>
      <x:c r="E31" s="219" t="str">
        <x:f>IF(C31="","",ROUND(C31*D31,0))</x:f>
      </x:c>
      <x:c r="F31" s="219" t="n">
        <x:v>0</x:v>
      </x:c>
      <x:c r="G31" s="219" t="str">
        <x:f>IF(E31="","",MAX(0,E31-F31))</x:f>
      </x:c>
      <x:c r="H31" t="str">
        <x:v>甲（申告書あり）</x:v>
      </x:c>
      <x:c r="I31" s="223" t="n">
        <x:v>0</x:v>
      </x:c>
      <x:c r="J31" s="219" t="str">
        <x:f>IF(G31="","",IF(H31="乙（提出なし）",ROUNDDOWN(INDEX('計算用税額表'!$E$2:$E$242,M31)+MAX(0,G31-INDEX('計算用税額表'!$D$2:$D$242,M31))*INDEX('計算用税額表'!$F$2:$F$242,M31),0),MAX(0,ROUNDDOWN(INDEX('計算用税額表'!$G$2:$N$242,M31,MIN(MAX(I31,0),7)+1)+MAX(0,G31-INDEX('計算用税額表'!$A$2:$A$242,M31))*INDEX('計算用税額表'!$C$2:$C$242,M31),0)-MAX(I31-7,0)*1610)))</x:f>
      </x:c>
      <x:c r="K31" s="219" t="str">
        <x:f>IF(E31="","",E31-J31)</x:f>
      </x:c>
      <x:c r="L31" t="str"/>
      <x:c r="M31" t="str">
        <x:f>IF(G31="","",MATCH(G31,'計算用税額表'!$A$2:$A$242,1))</x:f>
      </x:c>
      <x:c r="O31" s="219"/>
      <x:c r="P31" s="219"/>
      <x:c r="Q31" s="219"/>
    </x:row>
    <x:row r="32">
      <x:c r="A32" t="str">
        <x:v>2026/10/25</x:v>
      </x:c>
      <x:c r="B32" t="str">
        <x:v>スタッフA</x:v>
      </x:c>
      <x:c r="C32" s="219"/>
      <x:c r="D32" s="221" t="n">
        <x:v>0.1</x:v>
      </x:c>
      <x:c r="E32" s="219" t="str">
        <x:f>IF(C32="","",ROUND(C32*D32,0))</x:f>
      </x:c>
      <x:c r="F32" s="219" t="n">
        <x:v>0</x:v>
      </x:c>
      <x:c r="G32" s="219" t="str">
        <x:f>IF(E32="","",MAX(0,E32-F32))</x:f>
      </x:c>
      <x:c r="H32" t="str">
        <x:v>甲（申告書あり）</x:v>
      </x:c>
      <x:c r="I32" s="223" t="n">
        <x:v>0</x:v>
      </x:c>
      <x:c r="J32" s="219" t="str">
        <x:f>IF(G32="","",IF(H32="乙（提出なし）",ROUNDDOWN(INDEX('計算用税額表'!$E$2:$E$242,M32)+MAX(0,G32-INDEX('計算用税額表'!$D$2:$D$242,M32))*INDEX('計算用税額表'!$F$2:$F$242,M32),0),MAX(0,ROUNDDOWN(INDEX('計算用税額表'!$G$2:$N$242,M32,MIN(MAX(I32,0),7)+1)+MAX(0,G32-INDEX('計算用税額表'!$A$2:$A$242,M32))*INDEX('計算用税額表'!$C$2:$C$242,M32),0)-MAX(I32-7,0)*1610)))</x:f>
      </x:c>
      <x:c r="K32" s="219" t="str">
        <x:f>IF(E32="","",E32-J32)</x:f>
      </x:c>
      <x:c r="L32" t="str"/>
      <x:c r="M32" t="str">
        <x:f>IF(G32="","",MATCH(G32,'計算用税額表'!$A$2:$A$242,1))</x:f>
      </x:c>
      <x:c r="O32" s="219"/>
      <x:c r="P32" s="219"/>
      <x:c r="Q32" s="219"/>
    </x:row>
    <x:row r="33">
      <x:c r="A33" t="str">
        <x:v>2026/10/25</x:v>
      </x:c>
      <x:c r="B33" t="str">
        <x:v>スタッフB</x:v>
      </x:c>
      <x:c r="C33" s="219"/>
      <x:c r="D33" s="221" t="n">
        <x:v>0.1</x:v>
      </x:c>
      <x:c r="E33" s="219" t="str">
        <x:f>IF(C33="","",ROUND(C33*D33,0))</x:f>
      </x:c>
      <x:c r="F33" s="219" t="n">
        <x:v>0</x:v>
      </x:c>
      <x:c r="G33" s="219" t="str">
        <x:f>IF(E33="","",MAX(0,E33-F33))</x:f>
      </x:c>
      <x:c r="H33" t="str">
        <x:v>甲（申告書あり）</x:v>
      </x:c>
      <x:c r="I33" s="223" t="n">
        <x:v>0</x:v>
      </x:c>
      <x:c r="J33" s="219" t="str">
        <x:f>IF(G33="","",IF(H33="乙（提出なし）",ROUNDDOWN(INDEX('計算用税額表'!$E$2:$E$242,M33)+MAX(0,G33-INDEX('計算用税額表'!$D$2:$D$242,M33))*INDEX('計算用税額表'!$F$2:$F$242,M33),0),MAX(0,ROUNDDOWN(INDEX('計算用税額表'!$G$2:$N$242,M33,MIN(MAX(I33,0),7)+1)+MAX(0,G33-INDEX('計算用税額表'!$A$2:$A$242,M33))*INDEX('計算用税額表'!$C$2:$C$242,M33),0)-MAX(I33-7,0)*1610)))</x:f>
      </x:c>
      <x:c r="K33" s="219" t="str">
        <x:f>IF(E33="","",E33-J33)</x:f>
      </x:c>
      <x:c r="L33" t="str"/>
      <x:c r="M33" t="str">
        <x:f>IF(G33="","",MATCH(G33,'計算用税額表'!$A$2:$A$242,1))</x:f>
      </x:c>
      <x:c r="O33" s="219"/>
      <x:c r="P33" s="219"/>
      <x:c r="Q33" s="219"/>
    </x:row>
    <x:row r="34">
      <x:c r="A34" t="str">
        <x:v>2026/10/25</x:v>
      </x:c>
      <x:c r="B34" t="str">
        <x:v>スタッフC</x:v>
      </x:c>
      <x:c r="C34" s="219"/>
      <x:c r="D34" s="221" t="n">
        <x:v>0.1</x:v>
      </x:c>
      <x:c r="E34" s="219" t="str">
        <x:f>IF(C34="","",ROUND(C34*D34,0))</x:f>
      </x:c>
      <x:c r="F34" s="219" t="n">
        <x:v>0</x:v>
      </x:c>
      <x:c r="G34" s="219" t="str">
        <x:f>IF(E34="","",MAX(0,E34-F34))</x:f>
      </x:c>
      <x:c r="H34" t="str">
        <x:v>甲（申告書あり）</x:v>
      </x:c>
      <x:c r="I34" s="223" t="n">
        <x:v>0</x:v>
      </x:c>
      <x:c r="J34" s="219" t="str">
        <x:f>IF(G34="","",IF(H34="乙（提出なし）",ROUNDDOWN(INDEX('計算用税額表'!$E$2:$E$242,M34)+MAX(0,G34-INDEX('計算用税額表'!$D$2:$D$242,M34))*INDEX('計算用税額表'!$F$2:$F$242,M34),0),MAX(0,ROUNDDOWN(INDEX('計算用税額表'!$G$2:$N$242,M34,MIN(MAX(I34,0),7)+1)+MAX(0,G34-INDEX('計算用税額表'!$A$2:$A$242,M34))*INDEX('計算用税額表'!$C$2:$C$242,M34),0)-MAX(I34-7,0)*1610)))</x:f>
      </x:c>
      <x:c r="K34" s="219" t="str">
        <x:f>IF(E34="","",E34-J34)</x:f>
      </x:c>
      <x:c r="L34" t="str"/>
      <x:c r="M34" t="str">
        <x:f>IF(G34="","",MATCH(G34,'計算用税額表'!$A$2:$A$242,1))</x:f>
      </x:c>
      <x:c r="O34" s="219"/>
      <x:c r="P34" s="219"/>
      <x:c r="Q34" s="219"/>
    </x:row>
    <x:row r="35">
      <x:c r="A35" t="str">
        <x:v>2026/11/25</x:v>
      </x:c>
      <x:c r="B35" t="str">
        <x:v>スタッフA</x:v>
      </x:c>
      <x:c r="C35" s="219"/>
      <x:c r="D35" s="221" t="n">
        <x:v>0.1</x:v>
      </x:c>
      <x:c r="E35" s="219" t="str">
        <x:f>IF(C35="","",ROUND(C35*D35,0))</x:f>
      </x:c>
      <x:c r="F35" s="219" t="n">
        <x:v>0</x:v>
      </x:c>
      <x:c r="G35" s="219" t="str">
        <x:f>IF(E35="","",MAX(0,E35-F35))</x:f>
      </x:c>
      <x:c r="H35" t="str">
        <x:v>甲（申告書あり）</x:v>
      </x:c>
      <x:c r="I35" s="223" t="n">
        <x:v>0</x:v>
      </x:c>
      <x:c r="J35" s="219" t="str">
        <x:f>IF(G35="","",IF(H35="乙（提出なし）",ROUNDDOWN(INDEX('計算用税額表'!$E$2:$E$242,M35)+MAX(0,G35-INDEX('計算用税額表'!$D$2:$D$242,M35))*INDEX('計算用税額表'!$F$2:$F$242,M35),0),MAX(0,ROUNDDOWN(INDEX('計算用税額表'!$G$2:$N$242,M35,MIN(MAX(I35,0),7)+1)+MAX(0,G35-INDEX('計算用税額表'!$A$2:$A$242,M35))*INDEX('計算用税額表'!$C$2:$C$242,M35),0)-MAX(I35-7,0)*1610)))</x:f>
      </x:c>
      <x:c r="K35" s="219" t="str">
        <x:f>IF(E35="","",E35-J35)</x:f>
      </x:c>
      <x:c r="L35" t="str"/>
      <x:c r="M35" t="str">
        <x:f>IF(G35="","",MATCH(G35,'計算用税額表'!$A$2:$A$242,1))</x:f>
      </x:c>
      <x:c r="O35" s="219"/>
      <x:c r="P35" s="219"/>
      <x:c r="Q35" s="219"/>
    </x:row>
    <x:row r="36">
      <x:c r="A36" t="str">
        <x:v>2026/11/25</x:v>
      </x:c>
      <x:c r="B36" t="str">
        <x:v>スタッフB</x:v>
      </x:c>
      <x:c r="C36" s="219"/>
      <x:c r="D36" s="221" t="n">
        <x:v>0.1</x:v>
      </x:c>
      <x:c r="E36" s="219" t="str">
        <x:f>IF(C36="","",ROUND(C36*D36,0))</x:f>
      </x:c>
      <x:c r="F36" s="219" t="n">
        <x:v>0</x:v>
      </x:c>
      <x:c r="G36" s="219" t="str">
        <x:f>IF(E36="","",MAX(0,E36-F36))</x:f>
      </x:c>
      <x:c r="H36" t="str">
        <x:v>甲（申告書あり）</x:v>
      </x:c>
      <x:c r="I36" s="223" t="n">
        <x:v>0</x:v>
      </x:c>
      <x:c r="J36" s="219" t="str">
        <x:f>IF(G36="","",IF(H36="乙（提出なし）",ROUNDDOWN(INDEX('計算用税額表'!$E$2:$E$242,M36)+MAX(0,G36-INDEX('計算用税額表'!$D$2:$D$242,M36))*INDEX('計算用税額表'!$F$2:$F$242,M36),0),MAX(0,ROUNDDOWN(INDEX('計算用税額表'!$G$2:$N$242,M36,MIN(MAX(I36,0),7)+1)+MAX(0,G36-INDEX('計算用税額表'!$A$2:$A$242,M36))*INDEX('計算用税額表'!$C$2:$C$242,M36),0)-MAX(I36-7,0)*1610)))</x:f>
      </x:c>
      <x:c r="K36" s="219" t="str">
        <x:f>IF(E36="","",E36-J36)</x:f>
      </x:c>
      <x:c r="L36" t="str"/>
      <x:c r="M36" t="str">
        <x:f>IF(G36="","",MATCH(G36,'計算用税額表'!$A$2:$A$242,1))</x:f>
      </x:c>
      <x:c r="O36" s="219"/>
      <x:c r="P36" s="219"/>
      <x:c r="Q36" s="219"/>
    </x:row>
    <x:row r="37">
      <x:c r="A37" t="str">
        <x:v>2026/11/25</x:v>
      </x:c>
      <x:c r="B37" t="str">
        <x:v>スタッフC</x:v>
      </x:c>
      <x:c r="C37" s="219"/>
      <x:c r="D37" s="221" t="n">
        <x:v>0.1</x:v>
      </x:c>
      <x:c r="E37" s="219" t="str">
        <x:f>IF(C37="","",ROUND(C37*D37,0))</x:f>
      </x:c>
      <x:c r="F37" s="219" t="n">
        <x:v>0</x:v>
      </x:c>
      <x:c r="G37" s="219" t="str">
        <x:f>IF(E37="","",MAX(0,E37-F37))</x:f>
      </x:c>
      <x:c r="H37" t="str">
        <x:v>甲（申告書あり）</x:v>
      </x:c>
      <x:c r="I37" s="223" t="n">
        <x:v>0</x:v>
      </x:c>
      <x:c r="J37" s="219" t="str">
        <x:f>IF(G37="","",IF(H37="乙（提出なし）",ROUNDDOWN(INDEX('計算用税額表'!$E$2:$E$242,M37)+MAX(0,G37-INDEX('計算用税額表'!$D$2:$D$242,M37))*INDEX('計算用税額表'!$F$2:$F$242,M37),0),MAX(0,ROUNDDOWN(INDEX('計算用税額表'!$G$2:$N$242,M37,MIN(MAX(I37,0),7)+1)+MAX(0,G37-INDEX('計算用税額表'!$A$2:$A$242,M37))*INDEX('計算用税額表'!$C$2:$C$242,M37),0)-MAX(I37-7,0)*1610)))</x:f>
      </x:c>
      <x:c r="K37" s="219" t="str">
        <x:f>IF(E37="","",E37-J37)</x:f>
      </x:c>
      <x:c r="L37" t="str"/>
      <x:c r="M37" t="str">
        <x:f>IF(G37="","",MATCH(G37,'計算用税額表'!$A$2:$A$242,1))</x:f>
      </x:c>
      <x:c r="O37" s="219"/>
      <x:c r="P37" s="219"/>
      <x:c r="Q37" s="219"/>
    </x:row>
    <x:row r="38">
      <x:c r="A38" t="str">
        <x:v>2026/12/25</x:v>
      </x:c>
      <x:c r="B38" t="str">
        <x:v>スタッフA</x:v>
      </x:c>
      <x:c r="C38" s="219"/>
      <x:c r="D38" s="221" t="n">
        <x:v>0.1</x:v>
      </x:c>
      <x:c r="E38" s="219" t="str">
        <x:f>IF(C38="","",ROUND(C38*D38,0))</x:f>
      </x:c>
      <x:c r="F38" s="219" t="n">
        <x:v>0</x:v>
      </x:c>
      <x:c r="G38" s="219" t="str">
        <x:f>IF(E38="","",MAX(0,E38-F38))</x:f>
      </x:c>
      <x:c r="H38" t="str">
        <x:v>甲（申告書あり）</x:v>
      </x:c>
      <x:c r="I38" s="223" t="n">
        <x:v>0</x:v>
      </x:c>
      <x:c r="J38" s="219" t="str">
        <x:f>IF(G38="","",IF(H38="乙（提出なし）",ROUNDDOWN(INDEX('計算用税額表'!$E$2:$E$242,M38)+MAX(0,G38-INDEX('計算用税額表'!$D$2:$D$242,M38))*INDEX('計算用税額表'!$F$2:$F$242,M38),0),MAX(0,ROUNDDOWN(INDEX('計算用税額表'!$G$2:$N$242,M38,MIN(MAX(I38,0),7)+1)+MAX(0,G38-INDEX('計算用税額表'!$A$2:$A$242,M38))*INDEX('計算用税額表'!$C$2:$C$242,M38),0)-MAX(I38-7,0)*1610)))</x:f>
      </x:c>
      <x:c r="K38" s="219" t="str">
        <x:f>IF(E38="","",E38-J38)</x:f>
      </x:c>
      <x:c r="L38" t="str"/>
      <x:c r="M38" t="str">
        <x:f>IF(G38="","",MATCH(G38,'計算用税額表'!$A$2:$A$242,1))</x:f>
      </x:c>
      <x:c r="O38" s="219"/>
      <x:c r="P38" s="219"/>
      <x:c r="Q38" s="219"/>
    </x:row>
    <x:row r="39">
      <x:c r="A39" t="str">
        <x:v>2026/12/25</x:v>
      </x:c>
      <x:c r="B39" t="str">
        <x:v>スタッフB</x:v>
      </x:c>
      <x:c r="C39" s="219"/>
      <x:c r="D39" s="221" t="n">
        <x:v>0.1</x:v>
      </x:c>
      <x:c r="E39" s="219" t="str">
        <x:f>IF(C39="","",ROUND(C39*D39,0))</x:f>
      </x:c>
      <x:c r="F39" s="219" t="n">
        <x:v>0</x:v>
      </x:c>
      <x:c r="G39" s="219" t="str">
        <x:f>IF(E39="","",MAX(0,E39-F39))</x:f>
      </x:c>
      <x:c r="H39" t="str">
        <x:v>甲（申告書あり）</x:v>
      </x:c>
      <x:c r="I39" s="223" t="n">
        <x:v>0</x:v>
      </x:c>
      <x:c r="J39" s="219" t="str">
        <x:f>IF(G39="","",IF(H39="乙（提出なし）",ROUNDDOWN(INDEX('計算用税額表'!$E$2:$E$242,M39)+MAX(0,G39-INDEX('計算用税額表'!$D$2:$D$242,M39))*INDEX('計算用税額表'!$F$2:$F$242,M39),0),MAX(0,ROUNDDOWN(INDEX('計算用税額表'!$G$2:$N$242,M39,MIN(MAX(I39,0),7)+1)+MAX(0,G39-INDEX('計算用税額表'!$A$2:$A$242,M39))*INDEX('計算用税額表'!$C$2:$C$242,M39),0)-MAX(I39-7,0)*1610)))</x:f>
      </x:c>
      <x:c r="K39" s="219" t="str">
        <x:f>IF(E39="","",E39-J39)</x:f>
      </x:c>
      <x:c r="L39" t="str"/>
      <x:c r="M39" t="str">
        <x:f>IF(G39="","",MATCH(G39,'計算用税額表'!$A$2:$A$242,1))</x:f>
      </x:c>
      <x:c r="O39" s="219"/>
      <x:c r="P39" s="219"/>
      <x:c r="Q39" s="219"/>
    </x:row>
    <x:row r="40">
      <x:c r="A40" t="str">
        <x:v>2026/12/25</x:v>
      </x:c>
      <x:c r="B40" t="str">
        <x:v>スタッフC</x:v>
      </x:c>
      <x:c r="C40" s="219"/>
      <x:c r="D40" s="221" t="n">
        <x:v>0.1</x:v>
      </x:c>
      <x:c r="E40" s="219" t="str">
        <x:f>IF(C40="","",ROUND(C40*D40,0))</x:f>
      </x:c>
      <x:c r="F40" s="219" t="n">
        <x:v>0</x:v>
      </x:c>
      <x:c r="G40" s="219" t="str">
        <x:f>IF(E40="","",MAX(0,E40-F40))</x:f>
      </x:c>
      <x:c r="H40" t="str">
        <x:v>甲（申告書あり）</x:v>
      </x:c>
      <x:c r="I40" s="223" t="n">
        <x:v>0</x:v>
      </x:c>
      <x:c r="J40" s="219" t="str">
        <x:f>IF(G40="","",IF(H40="乙（提出なし）",ROUNDDOWN(INDEX('計算用税額表'!$E$2:$E$242,M40)+MAX(0,G40-INDEX('計算用税額表'!$D$2:$D$242,M40))*INDEX('計算用税額表'!$F$2:$F$242,M40),0),MAX(0,ROUNDDOWN(INDEX('計算用税額表'!$G$2:$N$242,M40,MIN(MAX(I40,0),7)+1)+MAX(0,G40-INDEX('計算用税額表'!$A$2:$A$242,M40))*INDEX('計算用税額表'!$C$2:$C$242,M40),0)-MAX(I40-7,0)*1610)))</x:f>
      </x:c>
      <x:c r="K40" s="219" t="str">
        <x:f>IF(E40="","",E40-J40)</x:f>
      </x:c>
      <x:c r="L40" t="str"/>
      <x:c r="M40" t="str">
        <x:f>IF(G40="","",MATCH(G40,'計算用税額表'!$A$2:$A$242,1))</x:f>
      </x:c>
      <x:c r="O40" s="219"/>
      <x:c r="P40" s="219"/>
      <x:c r="Q40" s="219"/>
    </x:row>
  </x:sheetData>
  <x:mergeCells>
    <x:mergeCell ref="A1:L1"/>
    <x:mergeCell ref="A2:L2"/>
  </x:mergeCells>
  <x:dataValidations count="2">
    <x:dataValidation type="list" sqref="H5:H40">
      <x:formula1>"甲（申告書あり）,乙（提出なし）"</x:formula1>
    </x:dataValidation>
    <x:dataValidation operator="between" sqref="I5:I40">
      <x:formula1>0</x:formula1>
      <x:formula2>20</x:formula2>
    </x:dataValidation>
  </x:dataValidations>
  <x:pageMargins left="0.7" right="0.7" top="0.75" bottom="0.75" header="0.3" footer="0.3"/>
  <x:tableParts count="2">
    <x:tablePart xmlns:r="http://schemas.openxmlformats.org/officeDocument/2006/relationships" r:id="R97325e8b473b4e6c"/>
    <x:tablePart xmlns:r="http://schemas.openxmlformats.org/officeDocument/2006/relationships" r:id="Rd6d90d45c7914ff7"/>
  </x:tableParts>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210" t="str">
        <x:v>下限</x:v>
      </x:c>
      <x:c r="B1" s="210" t="str">
        <x:v>上限</x:v>
      </x:c>
      <x:c r="C1" s="210" t="str">
        <x:v>甲欄_加算率</x:v>
      </x:c>
      <x:c r="D1" s="210" t="str">
        <x:v>乙欄_加算開始額</x:v>
      </x:c>
      <x:c r="E1" s="210" t="str">
        <x:v>乙欄_基礎税額</x:v>
      </x:c>
      <x:c r="F1" s="210" t="str">
        <x:v>乙欄_加算率</x:v>
      </x:c>
      <x:c r="G1" s="210" t="str">
        <x:v>甲0人基礎</x:v>
      </x:c>
      <x:c r="H1" s="210" t="str">
        <x:v>甲1人基礎</x:v>
      </x:c>
      <x:c r="I1" s="210" t="str">
        <x:v>甲2人基礎</x:v>
      </x:c>
      <x:c r="J1" s="210" t="str">
        <x:v>甲3人基礎</x:v>
      </x:c>
      <x:c r="K1" s="210" t="str">
        <x:v>甲4人基礎</x:v>
      </x:c>
      <x:c r="L1" s="210" t="str">
        <x:v>甲5人基礎</x:v>
      </x:c>
      <x:c r="M1" s="210" t="str">
        <x:v>甲6人基礎</x:v>
      </x:c>
      <x:c r="N1" s="210" t="str">
        <x:v>甲7人基礎</x:v>
      </x:c>
    </x:row>
    <x:row r="2">
      <x:c r="A2" s="219" t="n">
        <x:v>0</x:v>
      </x:c>
      <x:c r="B2" s="219" t="n">
        <x:v>105000</x:v>
      </x:c>
      <x:c r="C2" s="225" t="n">
        <x:v>0</x:v>
      </x:c>
      <x:c r="D2" s="219" t="n">
        <x:v>0</x:v>
      </x:c>
      <x:c r="E2" s="219" t="n">
        <x:v>0</x:v>
      </x:c>
      <x:c r="F2" s="225" t="n">
        <x:v>0.03063</x:v>
      </x:c>
      <x:c r="G2" s="219" t="n">
        <x:v>0</x:v>
      </x:c>
      <x:c r="H2" s="219" t="n">
        <x:v>0</x:v>
      </x:c>
      <x:c r="I2" s="219" t="n">
        <x:v>0</x:v>
      </x:c>
      <x:c r="J2" s="219" t="n">
        <x:v>0</x:v>
      </x:c>
      <x:c r="K2" s="219" t="n">
        <x:v>0</x:v>
      </x:c>
      <x:c r="L2" s="219" t="n">
        <x:v>0</x:v>
      </x:c>
      <x:c r="M2" s="219" t="n">
        <x:v>0</x:v>
      </x:c>
      <x:c r="N2" s="219" t="n">
        <x:v>0</x:v>
      </x:c>
    </x:row>
    <x:row r="3">
      <x:c r="A3" s="219" t="n">
        <x:v>105000</x:v>
      </x:c>
      <x:c r="B3" s="219" t="n">
        <x:v>107000</x:v>
      </x:c>
      <x:c r="C3" s="225" t="n">
        <x:v>0</x:v>
      </x:c>
      <x:c r="D3" s="219" t="n">
        <x:v>105000</x:v>
      </x:c>
      <x:c r="E3" s="219" t="n">
        <x:v>3800</x:v>
      </x:c>
      <x:c r="F3" s="225" t="n">
        <x:v>0</x:v>
      </x:c>
      <x:c r="G3" s="219" t="n">
        <x:v>170</x:v>
      </x:c>
      <x:c r="H3" s="219" t="n">
        <x:v>0</x:v>
      </x:c>
      <x:c r="I3" s="219" t="n">
        <x:v>0</x:v>
      </x:c>
      <x:c r="J3" s="219" t="n">
        <x:v>0</x:v>
      </x:c>
      <x:c r="K3" s="219" t="n">
        <x:v>0</x:v>
      </x:c>
      <x:c r="L3" s="219" t="n">
        <x:v>0</x:v>
      </x:c>
      <x:c r="M3" s="219" t="n">
        <x:v>0</x:v>
      </x:c>
      <x:c r="N3" s="219" t="n">
        <x:v>0</x:v>
      </x:c>
    </x:row>
    <x:row r="4">
      <x:c r="A4" s="219" t="n">
        <x:v>107000</x:v>
      </x:c>
      <x:c r="B4" s="219" t="n">
        <x:v>109000</x:v>
      </x:c>
      <x:c r="C4" s="225" t="n">
        <x:v>0</x:v>
      </x:c>
      <x:c r="D4" s="219" t="n">
        <x:v>107000</x:v>
      </x:c>
      <x:c r="E4" s="219" t="n">
        <x:v>3800</x:v>
      </x:c>
      <x:c r="F4" s="225" t="n">
        <x:v>0</x:v>
      </x:c>
      <x:c r="G4" s="219" t="n">
        <x:v>280</x:v>
      </x:c>
      <x:c r="H4" s="219" t="n">
        <x:v>0</x:v>
      </x:c>
      <x:c r="I4" s="219" t="n">
        <x:v>0</x:v>
      </x:c>
      <x:c r="J4" s="219" t="n">
        <x:v>0</x:v>
      </x:c>
      <x:c r="K4" s="219" t="n">
        <x:v>0</x:v>
      </x:c>
      <x:c r="L4" s="219" t="n">
        <x:v>0</x:v>
      </x:c>
      <x:c r="M4" s="219" t="n">
        <x:v>0</x:v>
      </x:c>
      <x:c r="N4" s="219" t="n">
        <x:v>0</x:v>
      </x:c>
    </x:row>
    <x:row r="5">
      <x:c r="A5" s="219" t="n">
        <x:v>109000</x:v>
      </x:c>
      <x:c r="B5" s="219" t="n">
        <x:v>111000</x:v>
      </x:c>
      <x:c r="C5" s="225" t="n">
        <x:v>0</x:v>
      </x:c>
      <x:c r="D5" s="219" t="n">
        <x:v>109000</x:v>
      </x:c>
      <x:c r="E5" s="219" t="n">
        <x:v>3900</x:v>
      </x:c>
      <x:c r="F5" s="225" t="n">
        <x:v>0</x:v>
      </x:c>
      <x:c r="G5" s="219" t="n">
        <x:v>380</x:v>
      </x:c>
      <x:c r="H5" s="219" t="n">
        <x:v>0</x:v>
      </x:c>
      <x:c r="I5" s="219" t="n">
        <x:v>0</x:v>
      </x:c>
      <x:c r="J5" s="219" t="n">
        <x:v>0</x:v>
      </x:c>
      <x:c r="K5" s="219" t="n">
        <x:v>0</x:v>
      </x:c>
      <x:c r="L5" s="219" t="n">
        <x:v>0</x:v>
      </x:c>
      <x:c r="M5" s="219" t="n">
        <x:v>0</x:v>
      </x:c>
      <x:c r="N5" s="219" t="n">
        <x:v>0</x:v>
      </x:c>
    </x:row>
    <x:row r="6">
      <x:c r="A6" s="219" t="n">
        <x:v>111000</x:v>
      </x:c>
      <x:c r="B6" s="219" t="n">
        <x:v>113000</x:v>
      </x:c>
      <x:c r="C6" s="225" t="n">
        <x:v>0</x:v>
      </x:c>
      <x:c r="D6" s="219" t="n">
        <x:v>111000</x:v>
      </x:c>
      <x:c r="E6" s="219" t="n">
        <x:v>4000</x:v>
      </x:c>
      <x:c r="F6" s="225" t="n">
        <x:v>0</x:v>
      </x:c>
      <x:c r="G6" s="219" t="n">
        <x:v>480</x:v>
      </x:c>
      <x:c r="H6" s="219" t="n">
        <x:v>0</x:v>
      </x:c>
      <x:c r="I6" s="219" t="n">
        <x:v>0</x:v>
      </x:c>
      <x:c r="J6" s="219" t="n">
        <x:v>0</x:v>
      </x:c>
      <x:c r="K6" s="219" t="n">
        <x:v>0</x:v>
      </x:c>
      <x:c r="L6" s="219" t="n">
        <x:v>0</x:v>
      </x:c>
      <x:c r="M6" s="219" t="n">
        <x:v>0</x:v>
      </x:c>
      <x:c r="N6" s="219" t="n">
        <x:v>0</x:v>
      </x:c>
    </x:row>
    <x:row r="7">
      <x:c r="A7" s="219" t="n">
        <x:v>113000</x:v>
      </x:c>
      <x:c r="B7" s="219" t="n">
        <x:v>115000</x:v>
      </x:c>
      <x:c r="C7" s="225" t="n">
        <x:v>0</x:v>
      </x:c>
      <x:c r="D7" s="219" t="n">
        <x:v>113000</x:v>
      </x:c>
      <x:c r="E7" s="219" t="n">
        <x:v>4100</x:v>
      </x:c>
      <x:c r="F7" s="225" t="n">
        <x:v>0</x:v>
      </x:c>
      <x:c r="G7" s="219" t="n">
        <x:v>580</x:v>
      </x:c>
      <x:c r="H7" s="219" t="n">
        <x:v>0</x:v>
      </x:c>
      <x:c r="I7" s="219" t="n">
        <x:v>0</x:v>
      </x:c>
      <x:c r="J7" s="219" t="n">
        <x:v>0</x:v>
      </x:c>
      <x:c r="K7" s="219" t="n">
        <x:v>0</x:v>
      </x:c>
      <x:c r="L7" s="219" t="n">
        <x:v>0</x:v>
      </x:c>
      <x:c r="M7" s="219" t="n">
        <x:v>0</x:v>
      </x:c>
      <x:c r="N7" s="219" t="n">
        <x:v>0</x:v>
      </x:c>
    </x:row>
    <x:row r="8">
      <x:c r="A8" s="219" t="n">
        <x:v>115000</x:v>
      </x:c>
      <x:c r="B8" s="219" t="n">
        <x:v>117000</x:v>
      </x:c>
      <x:c r="C8" s="225" t="n">
        <x:v>0</x:v>
      </x:c>
      <x:c r="D8" s="219" t="n">
        <x:v>115000</x:v>
      </x:c>
      <x:c r="E8" s="219" t="n">
        <x:v>4100</x:v>
      </x:c>
      <x:c r="F8" s="225" t="n">
        <x:v>0</x:v>
      </x:c>
      <x:c r="G8" s="219" t="n">
        <x:v>680</x:v>
      </x:c>
      <x:c r="H8" s="219" t="n">
        <x:v>0</x:v>
      </x:c>
      <x:c r="I8" s="219" t="n">
        <x:v>0</x:v>
      </x:c>
      <x:c r="J8" s="219" t="n">
        <x:v>0</x:v>
      </x:c>
      <x:c r="K8" s="219" t="n">
        <x:v>0</x:v>
      </x:c>
      <x:c r="L8" s="219" t="n">
        <x:v>0</x:v>
      </x:c>
      <x:c r="M8" s="219" t="n">
        <x:v>0</x:v>
      </x:c>
      <x:c r="N8" s="219" t="n">
        <x:v>0</x:v>
      </x:c>
    </x:row>
    <x:row r="9">
      <x:c r="A9" s="219" t="n">
        <x:v>117000</x:v>
      </x:c>
      <x:c r="B9" s="219" t="n">
        <x:v>119000</x:v>
      </x:c>
      <x:c r="C9" s="225" t="n">
        <x:v>0</x:v>
      </x:c>
      <x:c r="D9" s="219" t="n">
        <x:v>117000</x:v>
      </x:c>
      <x:c r="E9" s="219" t="n">
        <x:v>4200</x:v>
      </x:c>
      <x:c r="F9" s="225" t="n">
        <x:v>0</x:v>
      </x:c>
      <x:c r="G9" s="219" t="n">
        <x:v>790</x:v>
      </x:c>
      <x:c r="H9" s="219" t="n">
        <x:v>0</x:v>
      </x:c>
      <x:c r="I9" s="219" t="n">
        <x:v>0</x:v>
      </x:c>
      <x:c r="J9" s="219" t="n">
        <x:v>0</x:v>
      </x:c>
      <x:c r="K9" s="219" t="n">
        <x:v>0</x:v>
      </x:c>
      <x:c r="L9" s="219" t="n">
        <x:v>0</x:v>
      </x:c>
      <x:c r="M9" s="219" t="n">
        <x:v>0</x:v>
      </x:c>
      <x:c r="N9" s="219" t="n">
        <x:v>0</x:v>
      </x:c>
    </x:row>
    <x:row r="10">
      <x:c r="A10" s="219" t="n">
        <x:v>119000</x:v>
      </x:c>
      <x:c r="B10" s="219" t="n">
        <x:v>121000</x:v>
      </x:c>
      <x:c r="C10" s="225" t="n">
        <x:v>0</x:v>
      </x:c>
      <x:c r="D10" s="219" t="n">
        <x:v>119000</x:v>
      </x:c>
      <x:c r="E10" s="219" t="n">
        <x:v>4300</x:v>
      </x:c>
      <x:c r="F10" s="225" t="n">
        <x:v>0</x:v>
      </x:c>
      <x:c r="G10" s="219" t="n">
        <x:v>890</x:v>
      </x:c>
      <x:c r="H10" s="219" t="n">
        <x:v>0</x:v>
      </x:c>
      <x:c r="I10" s="219" t="n">
        <x:v>0</x:v>
      </x:c>
      <x:c r="J10" s="219" t="n">
        <x:v>0</x:v>
      </x:c>
      <x:c r="K10" s="219" t="n">
        <x:v>0</x:v>
      </x:c>
      <x:c r="L10" s="219" t="n">
        <x:v>0</x:v>
      </x:c>
      <x:c r="M10" s="219" t="n">
        <x:v>0</x:v>
      </x:c>
      <x:c r="N10" s="219" t="n">
        <x:v>0</x:v>
      </x:c>
    </x:row>
    <x:row r="11">
      <x:c r="A11" s="219" t="n">
        <x:v>121000</x:v>
      </x:c>
      <x:c r="B11" s="219" t="n">
        <x:v>123000</x:v>
      </x:c>
      <x:c r="C11" s="225" t="n">
        <x:v>0</x:v>
      </x:c>
      <x:c r="D11" s="219" t="n">
        <x:v>121000</x:v>
      </x:c>
      <x:c r="E11" s="219" t="n">
        <x:v>4300</x:v>
      </x:c>
      <x:c r="F11" s="225" t="n">
        <x:v>0</x:v>
      </x:c>
      <x:c r="G11" s="219" t="n">
        <x:v>990</x:v>
      </x:c>
      <x:c r="H11" s="219" t="n">
        <x:v>0</x:v>
      </x:c>
      <x:c r="I11" s="219" t="n">
        <x:v>0</x:v>
      </x:c>
      <x:c r="J11" s="219" t="n">
        <x:v>0</x:v>
      </x:c>
      <x:c r="K11" s="219" t="n">
        <x:v>0</x:v>
      </x:c>
      <x:c r="L11" s="219" t="n">
        <x:v>0</x:v>
      </x:c>
      <x:c r="M11" s="219" t="n">
        <x:v>0</x:v>
      </x:c>
      <x:c r="N11" s="219" t="n">
        <x:v>0</x:v>
      </x:c>
    </x:row>
    <x:row r="12">
      <x:c r="A12" s="219" t="n">
        <x:v>123000</x:v>
      </x:c>
      <x:c r="B12" s="219" t="n">
        <x:v>125000</x:v>
      </x:c>
      <x:c r="C12" s="225" t="n">
        <x:v>0</x:v>
      </x:c>
      <x:c r="D12" s="219" t="n">
        <x:v>123000</x:v>
      </x:c>
      <x:c r="E12" s="219" t="n">
        <x:v>4400</x:v>
      </x:c>
      <x:c r="F12" s="225" t="n">
        <x:v>0</x:v>
      </x:c>
      <x:c r="G12" s="219" t="n">
        <x:v>1090</x:v>
      </x:c>
      <x:c r="H12" s="219" t="n">
        <x:v>0</x:v>
      </x:c>
      <x:c r="I12" s="219" t="n">
        <x:v>0</x:v>
      </x:c>
      <x:c r="J12" s="219" t="n">
        <x:v>0</x:v>
      </x:c>
      <x:c r="K12" s="219" t="n">
        <x:v>0</x:v>
      </x:c>
      <x:c r="L12" s="219" t="n">
        <x:v>0</x:v>
      </x:c>
      <x:c r="M12" s="219" t="n">
        <x:v>0</x:v>
      </x:c>
      <x:c r="N12" s="219" t="n">
        <x:v>0</x:v>
      </x:c>
    </x:row>
    <x:row r="13">
      <x:c r="A13" s="219" t="n">
        <x:v>125000</x:v>
      </x:c>
      <x:c r="B13" s="219" t="n">
        <x:v>127000</x:v>
      </x:c>
      <x:c r="C13" s="225" t="n">
        <x:v>0</x:v>
      </x:c>
      <x:c r="D13" s="219" t="n">
        <x:v>125000</x:v>
      </x:c>
      <x:c r="E13" s="219" t="n">
        <x:v>4700</x:v>
      </x:c>
      <x:c r="F13" s="225" t="n">
        <x:v>0</x:v>
      </x:c>
      <x:c r="G13" s="219" t="n">
        <x:v>1190</x:v>
      </x:c>
      <x:c r="H13" s="219" t="n">
        <x:v>0</x:v>
      </x:c>
      <x:c r="I13" s="219" t="n">
        <x:v>0</x:v>
      </x:c>
      <x:c r="J13" s="219" t="n">
        <x:v>0</x:v>
      </x:c>
      <x:c r="K13" s="219" t="n">
        <x:v>0</x:v>
      </x:c>
      <x:c r="L13" s="219" t="n">
        <x:v>0</x:v>
      </x:c>
      <x:c r="M13" s="219" t="n">
        <x:v>0</x:v>
      </x:c>
      <x:c r="N13" s="219" t="n">
        <x:v>0</x:v>
      </x:c>
    </x:row>
    <x:row r="14">
      <x:c r="A14" s="219" t="n">
        <x:v>127000</x:v>
      </x:c>
      <x:c r="B14" s="219" t="n">
        <x:v>129000</x:v>
      </x:c>
      <x:c r="C14" s="225" t="n">
        <x:v>0</x:v>
      </x:c>
      <x:c r="D14" s="219" t="n">
        <x:v>127000</x:v>
      </x:c>
      <x:c r="E14" s="219" t="n">
        <x:v>5000</x:v>
      </x:c>
      <x:c r="F14" s="225" t="n">
        <x:v>0</x:v>
      </x:c>
      <x:c r="G14" s="219" t="n">
        <x:v>1300</x:v>
      </x:c>
      <x:c r="H14" s="219" t="n">
        <x:v>0</x:v>
      </x:c>
      <x:c r="I14" s="219" t="n">
        <x:v>0</x:v>
      </x:c>
      <x:c r="J14" s="219" t="n">
        <x:v>0</x:v>
      </x:c>
      <x:c r="K14" s="219" t="n">
        <x:v>0</x:v>
      </x:c>
      <x:c r="L14" s="219" t="n">
        <x:v>0</x:v>
      </x:c>
      <x:c r="M14" s="219" t="n">
        <x:v>0</x:v>
      </x:c>
      <x:c r="N14" s="219" t="n">
        <x:v>0</x:v>
      </x:c>
    </x:row>
    <x:row r="15">
      <x:c r="A15" s="219" t="n">
        <x:v>129000</x:v>
      </x:c>
      <x:c r="B15" s="219" t="n">
        <x:v>131000</x:v>
      </x:c>
      <x:c r="C15" s="225" t="n">
        <x:v>0</x:v>
      </x:c>
      <x:c r="D15" s="219" t="n">
        <x:v>129000</x:v>
      </x:c>
      <x:c r="E15" s="219" t="n">
        <x:v>5300</x:v>
      </x:c>
      <x:c r="F15" s="225" t="n">
        <x:v>0</x:v>
      </x:c>
      <x:c r="G15" s="219" t="n">
        <x:v>1400</x:v>
      </x:c>
      <x:c r="H15" s="219" t="n">
        <x:v>0</x:v>
      </x:c>
      <x:c r="I15" s="219" t="n">
        <x:v>0</x:v>
      </x:c>
      <x:c r="J15" s="219" t="n">
        <x:v>0</x:v>
      </x:c>
      <x:c r="K15" s="219" t="n">
        <x:v>0</x:v>
      </x:c>
      <x:c r="L15" s="219" t="n">
        <x:v>0</x:v>
      </x:c>
      <x:c r="M15" s="219" t="n">
        <x:v>0</x:v>
      </x:c>
      <x:c r="N15" s="219" t="n">
        <x:v>0</x:v>
      </x:c>
    </x:row>
    <x:row r="16">
      <x:c r="A16" s="219" t="n">
        <x:v>131000</x:v>
      </x:c>
      <x:c r="B16" s="219" t="n">
        <x:v>133000</x:v>
      </x:c>
      <x:c r="C16" s="225" t="n">
        <x:v>0</x:v>
      </x:c>
      <x:c r="D16" s="219" t="n">
        <x:v>131000</x:v>
      </x:c>
      <x:c r="E16" s="219" t="n">
        <x:v>5500</x:v>
      </x:c>
      <x:c r="F16" s="225" t="n">
        <x:v>0</x:v>
      </x:c>
      <x:c r="G16" s="219" t="n">
        <x:v>1500</x:v>
      </x:c>
      <x:c r="H16" s="219" t="n">
        <x:v>0</x:v>
      </x:c>
      <x:c r="I16" s="219" t="n">
        <x:v>0</x:v>
      </x:c>
      <x:c r="J16" s="219" t="n">
        <x:v>0</x:v>
      </x:c>
      <x:c r="K16" s="219" t="n">
        <x:v>0</x:v>
      </x:c>
      <x:c r="L16" s="219" t="n">
        <x:v>0</x:v>
      </x:c>
      <x:c r="M16" s="219" t="n">
        <x:v>0</x:v>
      </x:c>
      <x:c r="N16" s="219" t="n">
        <x:v>0</x:v>
      </x:c>
    </x:row>
    <x:row r="17">
      <x:c r="A17" s="219" t="n">
        <x:v>133000</x:v>
      </x:c>
      <x:c r="B17" s="219" t="n">
        <x:v>135000</x:v>
      </x:c>
      <x:c r="C17" s="225" t="n">
        <x:v>0</x:v>
      </x:c>
      <x:c r="D17" s="219" t="n">
        <x:v>133000</x:v>
      </x:c>
      <x:c r="E17" s="219" t="n">
        <x:v>5800</x:v>
      </x:c>
      <x:c r="F17" s="225" t="n">
        <x:v>0</x:v>
      </x:c>
      <x:c r="G17" s="219" t="n">
        <x:v>1600</x:v>
      </x:c>
      <x:c r="H17" s="219" t="n">
        <x:v>0</x:v>
      </x:c>
      <x:c r="I17" s="219" t="n">
        <x:v>0</x:v>
      </x:c>
      <x:c r="J17" s="219" t="n">
        <x:v>0</x:v>
      </x:c>
      <x:c r="K17" s="219" t="n">
        <x:v>0</x:v>
      </x:c>
      <x:c r="L17" s="219" t="n">
        <x:v>0</x:v>
      </x:c>
      <x:c r="M17" s="219" t="n">
        <x:v>0</x:v>
      </x:c>
      <x:c r="N17" s="219" t="n">
        <x:v>0</x:v>
      </x:c>
    </x:row>
    <x:row r="18">
      <x:c r="A18" s="219" t="n">
        <x:v>135000</x:v>
      </x:c>
      <x:c r="B18" s="219" t="n">
        <x:v>137000</x:v>
      </x:c>
      <x:c r="C18" s="225" t="n">
        <x:v>0</x:v>
      </x:c>
      <x:c r="D18" s="219" t="n">
        <x:v>135000</x:v>
      </x:c>
      <x:c r="E18" s="219" t="n">
        <x:v>6100</x:v>
      </x:c>
      <x:c r="F18" s="225" t="n">
        <x:v>0</x:v>
      </x:c>
      <x:c r="G18" s="219" t="n">
        <x:v>1710</x:v>
      </x:c>
      <x:c r="H18" s="219" t="n">
        <x:v>0</x:v>
      </x:c>
      <x:c r="I18" s="219" t="n">
        <x:v>0</x:v>
      </x:c>
      <x:c r="J18" s="219" t="n">
        <x:v>0</x:v>
      </x:c>
      <x:c r="K18" s="219" t="n">
        <x:v>0</x:v>
      </x:c>
      <x:c r="L18" s="219" t="n">
        <x:v>0</x:v>
      </x:c>
      <x:c r="M18" s="219" t="n">
        <x:v>0</x:v>
      </x:c>
      <x:c r="N18" s="219" t="n">
        <x:v>0</x:v>
      </x:c>
    </x:row>
    <x:row r="19">
      <x:c r="A19" s="219" t="n">
        <x:v>137000</x:v>
      </x:c>
      <x:c r="B19" s="219" t="n">
        <x:v>139000</x:v>
      </x:c>
      <x:c r="C19" s="225" t="n">
        <x:v>0</x:v>
      </x:c>
      <x:c r="D19" s="219" t="n">
        <x:v>137000</x:v>
      </x:c>
      <x:c r="E19" s="219" t="n">
        <x:v>6400</x:v>
      </x:c>
      <x:c r="F19" s="225" t="n">
        <x:v>0</x:v>
      </x:c>
      <x:c r="G19" s="219" t="n">
        <x:v>1810</x:v>
      </x:c>
      <x:c r="H19" s="219" t="n">
        <x:v>190</x:v>
      </x:c>
      <x:c r="I19" s="219" t="n">
        <x:v>0</x:v>
      </x:c>
      <x:c r="J19" s="219" t="n">
        <x:v>0</x:v>
      </x:c>
      <x:c r="K19" s="219" t="n">
        <x:v>0</x:v>
      </x:c>
      <x:c r="L19" s="219" t="n">
        <x:v>0</x:v>
      </x:c>
      <x:c r="M19" s="219" t="n">
        <x:v>0</x:v>
      </x:c>
      <x:c r="N19" s="219" t="n">
        <x:v>0</x:v>
      </x:c>
    </x:row>
    <x:row r="20">
      <x:c r="A20" s="219" t="n">
        <x:v>139000</x:v>
      </x:c>
      <x:c r="B20" s="219" t="n">
        <x:v>141000</x:v>
      </x:c>
      <x:c r="C20" s="225" t="n">
        <x:v>0</x:v>
      </x:c>
      <x:c r="D20" s="219" t="n">
        <x:v>139000</x:v>
      </x:c>
      <x:c r="E20" s="219" t="n">
        <x:v>6700</x:v>
      </x:c>
      <x:c r="F20" s="225" t="n">
        <x:v>0</x:v>
      </x:c>
      <x:c r="G20" s="219" t="n">
        <x:v>1910</x:v>
      </x:c>
      <x:c r="H20" s="219" t="n">
        <x:v>300</x:v>
      </x:c>
      <x:c r="I20" s="219" t="n">
        <x:v>0</x:v>
      </x:c>
      <x:c r="J20" s="219" t="n">
        <x:v>0</x:v>
      </x:c>
      <x:c r="K20" s="219" t="n">
        <x:v>0</x:v>
      </x:c>
      <x:c r="L20" s="219" t="n">
        <x:v>0</x:v>
      </x:c>
      <x:c r="M20" s="219" t="n">
        <x:v>0</x:v>
      </x:c>
      <x:c r="N20" s="219" t="n">
        <x:v>0</x:v>
      </x:c>
    </x:row>
    <x:row r="21">
      <x:c r="A21" s="219" t="n">
        <x:v>141000</x:v>
      </x:c>
      <x:c r="B21" s="219" t="n">
        <x:v>143000</x:v>
      </x:c>
      <x:c r="C21" s="225" t="n">
        <x:v>0</x:v>
      </x:c>
      <x:c r="D21" s="219" t="n">
        <x:v>141000</x:v>
      </x:c>
      <x:c r="E21" s="219" t="n">
        <x:v>7000</x:v>
      </x:c>
      <x:c r="F21" s="225" t="n">
        <x:v>0</x:v>
      </x:c>
      <x:c r="G21" s="219" t="n">
        <x:v>2010</x:v>
      </x:c>
      <x:c r="H21" s="219" t="n">
        <x:v>400</x:v>
      </x:c>
      <x:c r="I21" s="219" t="n">
        <x:v>0</x:v>
      </x:c>
      <x:c r="J21" s="219" t="n">
        <x:v>0</x:v>
      </x:c>
      <x:c r="K21" s="219" t="n">
        <x:v>0</x:v>
      </x:c>
      <x:c r="L21" s="219" t="n">
        <x:v>0</x:v>
      </x:c>
      <x:c r="M21" s="219" t="n">
        <x:v>0</x:v>
      </x:c>
      <x:c r="N21" s="219" t="n">
        <x:v>0</x:v>
      </x:c>
    </x:row>
    <x:row r="22">
      <x:c r="A22" s="219" t="n">
        <x:v>143000</x:v>
      </x:c>
      <x:c r="B22" s="219" t="n">
        <x:v>145000</x:v>
      </x:c>
      <x:c r="C22" s="225" t="n">
        <x:v>0</x:v>
      </x:c>
      <x:c r="D22" s="219" t="n">
        <x:v>143000</x:v>
      </x:c>
      <x:c r="E22" s="219" t="n">
        <x:v>7400</x:v>
      </x:c>
      <x:c r="F22" s="225" t="n">
        <x:v>0</x:v>
      </x:c>
      <x:c r="G22" s="219" t="n">
        <x:v>2110</x:v>
      </x:c>
      <x:c r="H22" s="219" t="n">
        <x:v>500</x:v>
      </x:c>
      <x:c r="I22" s="219" t="n">
        <x:v>0</x:v>
      </x:c>
      <x:c r="J22" s="219" t="n">
        <x:v>0</x:v>
      </x:c>
      <x:c r="K22" s="219" t="n">
        <x:v>0</x:v>
      </x:c>
      <x:c r="L22" s="219" t="n">
        <x:v>0</x:v>
      </x:c>
      <x:c r="M22" s="219" t="n">
        <x:v>0</x:v>
      </x:c>
      <x:c r="N22" s="219" t="n">
        <x:v>0</x:v>
      </x:c>
    </x:row>
    <x:row r="23">
      <x:c r="A23" s="219" t="n">
        <x:v>145000</x:v>
      </x:c>
      <x:c r="B23" s="219" t="n">
        <x:v>147000</x:v>
      </x:c>
      <x:c r="C23" s="225" t="n">
        <x:v>0</x:v>
      </x:c>
      <x:c r="D23" s="219" t="n">
        <x:v>145000</x:v>
      </x:c>
      <x:c r="E23" s="219" t="n">
        <x:v>7700</x:v>
      </x:c>
      <x:c r="F23" s="225" t="n">
        <x:v>0</x:v>
      </x:c>
      <x:c r="G23" s="219" t="n">
        <x:v>2220</x:v>
      </x:c>
      <x:c r="H23" s="219" t="n">
        <x:v>600</x:v>
      </x:c>
      <x:c r="I23" s="219" t="n">
        <x:v>0</x:v>
      </x:c>
      <x:c r="J23" s="219" t="n">
        <x:v>0</x:v>
      </x:c>
      <x:c r="K23" s="219" t="n">
        <x:v>0</x:v>
      </x:c>
      <x:c r="L23" s="219" t="n">
        <x:v>0</x:v>
      </x:c>
      <x:c r="M23" s="219" t="n">
        <x:v>0</x:v>
      </x:c>
      <x:c r="N23" s="219" t="n">
        <x:v>0</x:v>
      </x:c>
    </x:row>
    <x:row r="24">
      <x:c r="A24" s="219" t="n">
        <x:v>147000</x:v>
      </x:c>
      <x:c r="B24" s="219" t="n">
        <x:v>149000</x:v>
      </x:c>
      <x:c r="C24" s="225" t="n">
        <x:v>0</x:v>
      </x:c>
      <x:c r="D24" s="219" t="n">
        <x:v>147000</x:v>
      </x:c>
      <x:c r="E24" s="219" t="n">
        <x:v>8000</x:v>
      </x:c>
      <x:c r="F24" s="225" t="n">
        <x:v>0</x:v>
      </x:c>
      <x:c r="G24" s="219" t="n">
        <x:v>2320</x:v>
      </x:c>
      <x:c r="H24" s="219" t="n">
        <x:v>700</x:v>
      </x:c>
      <x:c r="I24" s="219" t="n">
        <x:v>0</x:v>
      </x:c>
      <x:c r="J24" s="219" t="n">
        <x:v>0</x:v>
      </x:c>
      <x:c r="K24" s="219" t="n">
        <x:v>0</x:v>
      </x:c>
      <x:c r="L24" s="219" t="n">
        <x:v>0</x:v>
      </x:c>
      <x:c r="M24" s="219" t="n">
        <x:v>0</x:v>
      </x:c>
      <x:c r="N24" s="219" t="n">
        <x:v>0</x:v>
      </x:c>
    </x:row>
    <x:row r="25">
      <x:c r="A25" s="219" t="n">
        <x:v>149000</x:v>
      </x:c>
      <x:c r="B25" s="219" t="n">
        <x:v>151000</x:v>
      </x:c>
      <x:c r="C25" s="225" t="n">
        <x:v>0</x:v>
      </x:c>
      <x:c r="D25" s="219" t="n">
        <x:v>149000</x:v>
      </x:c>
      <x:c r="E25" s="219" t="n">
        <x:v>8300</x:v>
      </x:c>
      <x:c r="F25" s="225" t="n">
        <x:v>0</x:v>
      </x:c>
      <x:c r="G25" s="219" t="n">
        <x:v>2420</x:v>
      </x:c>
      <x:c r="H25" s="219" t="n">
        <x:v>810</x:v>
      </x:c>
      <x:c r="I25" s="219" t="n">
        <x:v>0</x:v>
      </x:c>
      <x:c r="J25" s="219" t="n">
        <x:v>0</x:v>
      </x:c>
      <x:c r="K25" s="219" t="n">
        <x:v>0</x:v>
      </x:c>
      <x:c r="L25" s="219" t="n">
        <x:v>0</x:v>
      </x:c>
      <x:c r="M25" s="219" t="n">
        <x:v>0</x:v>
      </x:c>
      <x:c r="N25" s="219" t="n">
        <x:v>0</x:v>
      </x:c>
    </x:row>
    <x:row r="26">
      <x:c r="A26" s="219" t="n">
        <x:v>151000</x:v>
      </x:c>
      <x:c r="B26" s="219" t="n">
        <x:v>153000</x:v>
      </x:c>
      <x:c r="C26" s="225" t="n">
        <x:v>0</x:v>
      </x:c>
      <x:c r="D26" s="219" t="n">
        <x:v>151000</x:v>
      </x:c>
      <x:c r="E26" s="219" t="n">
        <x:v>8600</x:v>
      </x:c>
      <x:c r="F26" s="225" t="n">
        <x:v>0</x:v>
      </x:c>
      <x:c r="G26" s="219" t="n">
        <x:v>2520</x:v>
      </x:c>
      <x:c r="H26" s="219" t="n">
        <x:v>910</x:v>
      </x:c>
      <x:c r="I26" s="219" t="n">
        <x:v>0</x:v>
      </x:c>
      <x:c r="J26" s="219" t="n">
        <x:v>0</x:v>
      </x:c>
      <x:c r="K26" s="219" t="n">
        <x:v>0</x:v>
      </x:c>
      <x:c r="L26" s="219" t="n">
        <x:v>0</x:v>
      </x:c>
      <x:c r="M26" s="219" t="n">
        <x:v>0</x:v>
      </x:c>
      <x:c r="N26" s="219" t="n">
        <x:v>0</x:v>
      </x:c>
    </x:row>
    <x:row r="27">
      <x:c r="A27" s="219" t="n">
        <x:v>153000</x:v>
      </x:c>
      <x:c r="B27" s="219" t="n">
        <x:v>155000</x:v>
      </x:c>
      <x:c r="C27" s="225" t="n">
        <x:v>0</x:v>
      </x:c>
      <x:c r="D27" s="219" t="n">
        <x:v>153000</x:v>
      </x:c>
      <x:c r="E27" s="219" t="n">
        <x:v>8900</x:v>
      </x:c>
      <x:c r="F27" s="225" t="n">
        <x:v>0</x:v>
      </x:c>
      <x:c r="G27" s="219" t="n">
        <x:v>2620</x:v>
      </x:c>
      <x:c r="H27" s="219" t="n">
        <x:v>1010</x:v>
      </x:c>
      <x:c r="I27" s="219" t="n">
        <x:v>0</x:v>
      </x:c>
      <x:c r="J27" s="219" t="n">
        <x:v>0</x:v>
      </x:c>
      <x:c r="K27" s="219" t="n">
        <x:v>0</x:v>
      </x:c>
      <x:c r="L27" s="219" t="n">
        <x:v>0</x:v>
      </x:c>
      <x:c r="M27" s="219" t="n">
        <x:v>0</x:v>
      </x:c>
      <x:c r="N27" s="219" t="n">
        <x:v>0</x:v>
      </x:c>
    </x:row>
    <x:row r="28">
      <x:c r="A28" s="219" t="n">
        <x:v>155000</x:v>
      </x:c>
      <x:c r="B28" s="219" t="n">
        <x:v>157000</x:v>
      </x:c>
      <x:c r="C28" s="225" t="n">
        <x:v>0</x:v>
      </x:c>
      <x:c r="D28" s="219" t="n">
        <x:v>155000</x:v>
      </x:c>
      <x:c r="E28" s="219" t="n">
        <x:v>9200</x:v>
      </x:c>
      <x:c r="F28" s="225" t="n">
        <x:v>0</x:v>
      </x:c>
      <x:c r="G28" s="219" t="n">
        <x:v>2730</x:v>
      </x:c>
      <x:c r="H28" s="219" t="n">
        <x:v>1110</x:v>
      </x:c>
      <x:c r="I28" s="219" t="n">
        <x:v>0</x:v>
      </x:c>
      <x:c r="J28" s="219" t="n">
        <x:v>0</x:v>
      </x:c>
      <x:c r="K28" s="219" t="n">
        <x:v>0</x:v>
      </x:c>
      <x:c r="L28" s="219" t="n">
        <x:v>0</x:v>
      </x:c>
      <x:c r="M28" s="219" t="n">
        <x:v>0</x:v>
      </x:c>
      <x:c r="N28" s="219" t="n">
        <x:v>0</x:v>
      </x:c>
    </x:row>
    <x:row r="29">
      <x:c r="A29" s="219" t="n">
        <x:v>157000</x:v>
      </x:c>
      <x:c r="B29" s="219" t="n">
        <x:v>159000</x:v>
      </x:c>
      <x:c r="C29" s="225" t="n">
        <x:v>0</x:v>
      </x:c>
      <x:c r="D29" s="219" t="n">
        <x:v>157000</x:v>
      </x:c>
      <x:c r="E29" s="219" t="n">
        <x:v>9500</x:v>
      </x:c>
      <x:c r="F29" s="225" t="n">
        <x:v>0</x:v>
      </x:c>
      <x:c r="G29" s="219" t="n">
        <x:v>2830</x:v>
      </x:c>
      <x:c r="H29" s="219" t="n">
        <x:v>1210</x:v>
      </x:c>
      <x:c r="I29" s="219" t="n">
        <x:v>0</x:v>
      </x:c>
      <x:c r="J29" s="219" t="n">
        <x:v>0</x:v>
      </x:c>
      <x:c r="K29" s="219" t="n">
        <x:v>0</x:v>
      </x:c>
      <x:c r="L29" s="219" t="n">
        <x:v>0</x:v>
      </x:c>
      <x:c r="M29" s="219" t="n">
        <x:v>0</x:v>
      </x:c>
      <x:c r="N29" s="219" t="n">
        <x:v>0</x:v>
      </x:c>
    </x:row>
    <x:row r="30">
      <x:c r="A30" s="219" t="n">
        <x:v>159000</x:v>
      </x:c>
      <x:c r="B30" s="219" t="n">
        <x:v>161000</x:v>
      </x:c>
      <x:c r="C30" s="225" t="n">
        <x:v>0</x:v>
      </x:c>
      <x:c r="D30" s="219" t="n">
        <x:v>159000</x:v>
      </x:c>
      <x:c r="E30" s="219" t="n">
        <x:v>9800</x:v>
      </x:c>
      <x:c r="F30" s="225" t="n">
        <x:v>0</x:v>
      </x:c>
      <x:c r="G30" s="219" t="n">
        <x:v>2910</x:v>
      </x:c>
      <x:c r="H30" s="219" t="n">
        <x:v>1300</x:v>
      </x:c>
      <x:c r="I30" s="219" t="n">
        <x:v>0</x:v>
      </x:c>
      <x:c r="J30" s="219" t="n">
        <x:v>0</x:v>
      </x:c>
      <x:c r="K30" s="219" t="n">
        <x:v>0</x:v>
      </x:c>
      <x:c r="L30" s="219" t="n">
        <x:v>0</x:v>
      </x:c>
      <x:c r="M30" s="219" t="n">
        <x:v>0</x:v>
      </x:c>
      <x:c r="N30" s="219" t="n">
        <x:v>0</x:v>
      </x:c>
    </x:row>
    <x:row r="31">
      <x:c r="A31" s="219" t="n">
        <x:v>161000</x:v>
      </x:c>
      <x:c r="B31" s="219" t="n">
        <x:v>163000</x:v>
      </x:c>
      <x:c r="C31" s="225" t="n">
        <x:v>0</x:v>
      </x:c>
      <x:c r="D31" s="219" t="n">
        <x:v>161000</x:v>
      </x:c>
      <x:c r="E31" s="219" t="n">
        <x:v>10100</x:v>
      </x:c>
      <x:c r="F31" s="225" t="n">
        <x:v>0</x:v>
      </x:c>
      <x:c r="G31" s="219" t="n">
        <x:v>2980</x:v>
      </x:c>
      <x:c r="H31" s="219" t="n">
        <x:v>1370</x:v>
      </x:c>
      <x:c r="I31" s="219" t="n">
        <x:v>0</x:v>
      </x:c>
      <x:c r="J31" s="219" t="n">
        <x:v>0</x:v>
      </x:c>
      <x:c r="K31" s="219" t="n">
        <x:v>0</x:v>
      </x:c>
      <x:c r="L31" s="219" t="n">
        <x:v>0</x:v>
      </x:c>
      <x:c r="M31" s="219" t="n">
        <x:v>0</x:v>
      </x:c>
      <x:c r="N31" s="219" t="n">
        <x:v>0</x:v>
      </x:c>
    </x:row>
    <x:row r="32">
      <x:c r="A32" s="219" t="n">
        <x:v>163000</x:v>
      </x:c>
      <x:c r="B32" s="219" t="n">
        <x:v>165000</x:v>
      </x:c>
      <x:c r="C32" s="225" t="n">
        <x:v>0</x:v>
      </x:c>
      <x:c r="D32" s="219" t="n">
        <x:v>163000</x:v>
      </x:c>
      <x:c r="E32" s="219" t="n">
        <x:v>10400</x:v>
      </x:c>
      <x:c r="F32" s="225" t="n">
        <x:v>0</x:v>
      </x:c>
      <x:c r="G32" s="219" t="n">
        <x:v>3050</x:v>
      </x:c>
      <x:c r="H32" s="219" t="n">
        <x:v>1440</x:v>
      </x:c>
      <x:c r="I32" s="219" t="n">
        <x:v>0</x:v>
      </x:c>
      <x:c r="J32" s="219" t="n">
        <x:v>0</x:v>
      </x:c>
      <x:c r="K32" s="219" t="n">
        <x:v>0</x:v>
      </x:c>
      <x:c r="L32" s="219" t="n">
        <x:v>0</x:v>
      </x:c>
      <x:c r="M32" s="219" t="n">
        <x:v>0</x:v>
      </x:c>
      <x:c r="N32" s="219" t="n">
        <x:v>0</x:v>
      </x:c>
    </x:row>
    <x:row r="33">
      <x:c r="A33" s="219" t="n">
        <x:v>165000</x:v>
      </x:c>
      <x:c r="B33" s="219" t="n">
        <x:v>167000</x:v>
      </x:c>
      <x:c r="C33" s="225" t="n">
        <x:v>0</x:v>
      </x:c>
      <x:c r="D33" s="219" t="n">
        <x:v>165000</x:v>
      </x:c>
      <x:c r="E33" s="219" t="n">
        <x:v>10700</x:v>
      </x:c>
      <x:c r="F33" s="225" t="n">
        <x:v>0</x:v>
      </x:c>
      <x:c r="G33" s="219" t="n">
        <x:v>3120</x:v>
      </x:c>
      <x:c r="H33" s="219" t="n">
        <x:v>1510</x:v>
      </x:c>
      <x:c r="I33" s="219" t="n">
        <x:v>0</x:v>
      </x:c>
      <x:c r="J33" s="219" t="n">
        <x:v>0</x:v>
      </x:c>
      <x:c r="K33" s="219" t="n">
        <x:v>0</x:v>
      </x:c>
      <x:c r="L33" s="219" t="n">
        <x:v>0</x:v>
      </x:c>
      <x:c r="M33" s="219" t="n">
        <x:v>0</x:v>
      </x:c>
      <x:c r="N33" s="219" t="n">
        <x:v>0</x:v>
      </x:c>
    </x:row>
    <x:row r="34">
      <x:c r="A34" s="219" t="n">
        <x:v>167000</x:v>
      </x:c>
      <x:c r="B34" s="219" t="n">
        <x:v>169000</x:v>
      </x:c>
      <x:c r="C34" s="225" t="n">
        <x:v>0</x:v>
      </x:c>
      <x:c r="D34" s="219" t="n">
        <x:v>167000</x:v>
      </x:c>
      <x:c r="E34" s="219" t="n">
        <x:v>11000</x:v>
      </x:c>
      <x:c r="F34" s="225" t="n">
        <x:v>0</x:v>
      </x:c>
      <x:c r="G34" s="219" t="n">
        <x:v>3200</x:v>
      </x:c>
      <x:c r="H34" s="219" t="n">
        <x:v>1580</x:v>
      </x:c>
      <x:c r="I34" s="219" t="n">
        <x:v>0</x:v>
      </x:c>
      <x:c r="J34" s="219" t="n">
        <x:v>0</x:v>
      </x:c>
      <x:c r="K34" s="219" t="n">
        <x:v>0</x:v>
      </x:c>
      <x:c r="L34" s="219" t="n">
        <x:v>0</x:v>
      </x:c>
      <x:c r="M34" s="219" t="n">
        <x:v>0</x:v>
      </x:c>
      <x:c r="N34" s="219" t="n">
        <x:v>0</x:v>
      </x:c>
    </x:row>
    <x:row r="35">
      <x:c r="A35" s="219" t="n">
        <x:v>169000</x:v>
      </x:c>
      <x:c r="B35" s="219" t="n">
        <x:v>171000</x:v>
      </x:c>
      <x:c r="C35" s="225" t="n">
        <x:v>0</x:v>
      </x:c>
      <x:c r="D35" s="219" t="n">
        <x:v>169000</x:v>
      </x:c>
      <x:c r="E35" s="219" t="n">
        <x:v>11300</x:v>
      </x:c>
      <x:c r="F35" s="225" t="n">
        <x:v>0</x:v>
      </x:c>
      <x:c r="G35" s="219" t="n">
        <x:v>3270</x:v>
      </x:c>
      <x:c r="H35" s="219" t="n">
        <x:v>1650</x:v>
      </x:c>
      <x:c r="I35" s="219" t="n">
        <x:v>0</x:v>
      </x:c>
      <x:c r="J35" s="219" t="n">
        <x:v>0</x:v>
      </x:c>
      <x:c r="K35" s="219" t="n">
        <x:v>0</x:v>
      </x:c>
      <x:c r="L35" s="219" t="n">
        <x:v>0</x:v>
      </x:c>
      <x:c r="M35" s="219" t="n">
        <x:v>0</x:v>
      </x:c>
      <x:c r="N35" s="219" t="n">
        <x:v>0</x:v>
      </x:c>
    </x:row>
    <x:row r="36">
      <x:c r="A36" s="219" t="n">
        <x:v>171000</x:v>
      </x:c>
      <x:c r="B36" s="219" t="n">
        <x:v>173000</x:v>
      </x:c>
      <x:c r="C36" s="225" t="n">
        <x:v>0</x:v>
      </x:c>
      <x:c r="D36" s="219" t="n">
        <x:v>171000</x:v>
      </x:c>
      <x:c r="E36" s="219" t="n">
        <x:v>11500</x:v>
      </x:c>
      <x:c r="F36" s="225" t="n">
        <x:v>0</x:v>
      </x:c>
      <x:c r="G36" s="219" t="n">
        <x:v>3340</x:v>
      </x:c>
      <x:c r="H36" s="219" t="n">
        <x:v>1730</x:v>
      </x:c>
      <x:c r="I36" s="219" t="n">
        <x:v>100</x:v>
      </x:c>
      <x:c r="J36" s="219" t="n">
        <x:v>0</x:v>
      </x:c>
      <x:c r="K36" s="219" t="n">
        <x:v>0</x:v>
      </x:c>
      <x:c r="L36" s="219" t="n">
        <x:v>0</x:v>
      </x:c>
      <x:c r="M36" s="219" t="n">
        <x:v>0</x:v>
      </x:c>
      <x:c r="N36" s="219" t="n">
        <x:v>0</x:v>
      </x:c>
    </x:row>
    <x:row r="37">
      <x:c r="A37" s="219" t="n">
        <x:v>173000</x:v>
      </x:c>
      <x:c r="B37" s="219" t="n">
        <x:v>175000</x:v>
      </x:c>
      <x:c r="C37" s="225" t="n">
        <x:v>0</x:v>
      </x:c>
      <x:c r="D37" s="219" t="n">
        <x:v>173000</x:v>
      </x:c>
      <x:c r="E37" s="219" t="n">
        <x:v>11800</x:v>
      </x:c>
      <x:c r="F37" s="225" t="n">
        <x:v>0</x:v>
      </x:c>
      <x:c r="G37" s="219" t="n">
        <x:v>3410</x:v>
      </x:c>
      <x:c r="H37" s="219" t="n">
        <x:v>1800</x:v>
      </x:c>
      <x:c r="I37" s="219" t="n">
        <x:v>170</x:v>
      </x:c>
      <x:c r="J37" s="219" t="n">
        <x:v>0</x:v>
      </x:c>
      <x:c r="K37" s="219" t="n">
        <x:v>0</x:v>
      </x:c>
      <x:c r="L37" s="219" t="n">
        <x:v>0</x:v>
      </x:c>
      <x:c r="M37" s="219" t="n">
        <x:v>0</x:v>
      </x:c>
      <x:c r="N37" s="219" t="n">
        <x:v>0</x:v>
      </x:c>
    </x:row>
    <x:row r="38">
      <x:c r="A38" s="219" t="n">
        <x:v>175000</x:v>
      </x:c>
      <x:c r="B38" s="219" t="n">
        <x:v>177000</x:v>
      </x:c>
      <x:c r="C38" s="225" t="n">
        <x:v>0</x:v>
      </x:c>
      <x:c r="D38" s="219" t="n">
        <x:v>175000</x:v>
      </x:c>
      <x:c r="E38" s="219" t="n">
        <x:v>12100</x:v>
      </x:c>
      <x:c r="F38" s="225" t="n">
        <x:v>0</x:v>
      </x:c>
      <x:c r="G38" s="219" t="n">
        <x:v>3480</x:v>
      </x:c>
      <x:c r="H38" s="219" t="n">
        <x:v>1870</x:v>
      </x:c>
      <x:c r="I38" s="219" t="n">
        <x:v>250</x:v>
      </x:c>
      <x:c r="J38" s="219" t="n">
        <x:v>0</x:v>
      </x:c>
      <x:c r="K38" s="219" t="n">
        <x:v>0</x:v>
      </x:c>
      <x:c r="L38" s="219" t="n">
        <x:v>0</x:v>
      </x:c>
      <x:c r="M38" s="219" t="n">
        <x:v>0</x:v>
      </x:c>
      <x:c r="N38" s="219" t="n">
        <x:v>0</x:v>
      </x:c>
    </x:row>
    <x:row r="39">
      <x:c r="A39" s="219" t="n">
        <x:v>177000</x:v>
      </x:c>
      <x:c r="B39" s="219" t="n">
        <x:v>179000</x:v>
      </x:c>
      <x:c r="C39" s="225" t="n">
        <x:v>0</x:v>
      </x:c>
      <x:c r="D39" s="219" t="n">
        <x:v>177000</x:v>
      </x:c>
      <x:c r="E39" s="219" t="n">
        <x:v>12500</x:v>
      </x:c>
      <x:c r="F39" s="225" t="n">
        <x:v>0</x:v>
      </x:c>
      <x:c r="G39" s="219" t="n">
        <x:v>3550</x:v>
      </x:c>
      <x:c r="H39" s="219" t="n">
        <x:v>1940</x:v>
      </x:c>
      <x:c r="I39" s="219" t="n">
        <x:v>320</x:v>
      </x:c>
      <x:c r="J39" s="219" t="n">
        <x:v>0</x:v>
      </x:c>
      <x:c r="K39" s="219" t="n">
        <x:v>0</x:v>
      </x:c>
      <x:c r="L39" s="219" t="n">
        <x:v>0</x:v>
      </x:c>
      <x:c r="M39" s="219" t="n">
        <x:v>0</x:v>
      </x:c>
      <x:c r="N39" s="219" t="n">
        <x:v>0</x:v>
      </x:c>
    </x:row>
    <x:row r="40">
      <x:c r="A40" s="219" t="n">
        <x:v>179000</x:v>
      </x:c>
      <x:c r="B40" s="219" t="n">
        <x:v>181000</x:v>
      </x:c>
      <x:c r="C40" s="225" t="n">
        <x:v>0</x:v>
      </x:c>
      <x:c r="D40" s="219" t="n">
        <x:v>179000</x:v>
      </x:c>
      <x:c r="E40" s="219" t="n">
        <x:v>12800</x:v>
      </x:c>
      <x:c r="F40" s="225" t="n">
        <x:v>0</x:v>
      </x:c>
      <x:c r="G40" s="219" t="n">
        <x:v>3620</x:v>
      </x:c>
      <x:c r="H40" s="219" t="n">
        <x:v>2010</x:v>
      </x:c>
      <x:c r="I40" s="219" t="n">
        <x:v>390</x:v>
      </x:c>
      <x:c r="J40" s="219" t="n">
        <x:v>0</x:v>
      </x:c>
      <x:c r="K40" s="219" t="n">
        <x:v>0</x:v>
      </x:c>
      <x:c r="L40" s="219" t="n">
        <x:v>0</x:v>
      </x:c>
      <x:c r="M40" s="219" t="n">
        <x:v>0</x:v>
      </x:c>
      <x:c r="N40" s="219" t="n">
        <x:v>0</x:v>
      </x:c>
    </x:row>
    <x:row r="41">
      <x:c r="A41" s="219" t="n">
        <x:v>181000</x:v>
      </x:c>
      <x:c r="B41" s="219" t="n">
        <x:v>183000</x:v>
      </x:c>
      <x:c r="C41" s="225" t="n">
        <x:v>0</x:v>
      </x:c>
      <x:c r="D41" s="219" t="n">
        <x:v>181000</x:v>
      </x:c>
      <x:c r="E41" s="219" t="n">
        <x:v>13300</x:v>
      </x:c>
      <x:c r="F41" s="225" t="n">
        <x:v>0</x:v>
      </x:c>
      <x:c r="G41" s="219" t="n">
        <x:v>3700</x:v>
      </x:c>
      <x:c r="H41" s="219" t="n">
        <x:v>2080</x:v>
      </x:c>
      <x:c r="I41" s="219" t="n">
        <x:v>460</x:v>
      </x:c>
      <x:c r="J41" s="219" t="n">
        <x:v>0</x:v>
      </x:c>
      <x:c r="K41" s="219" t="n">
        <x:v>0</x:v>
      </x:c>
      <x:c r="L41" s="219" t="n">
        <x:v>0</x:v>
      </x:c>
      <x:c r="M41" s="219" t="n">
        <x:v>0</x:v>
      </x:c>
      <x:c r="N41" s="219" t="n">
        <x:v>0</x:v>
      </x:c>
    </x:row>
    <x:row r="42">
      <x:c r="A42" s="219" t="n">
        <x:v>183000</x:v>
      </x:c>
      <x:c r="B42" s="219" t="n">
        <x:v>185000</x:v>
      </x:c>
      <x:c r="C42" s="225" t="n">
        <x:v>0</x:v>
      </x:c>
      <x:c r="D42" s="219" t="n">
        <x:v>183000</x:v>
      </x:c>
      <x:c r="E42" s="219" t="n">
        <x:v>14000</x:v>
      </x:c>
      <x:c r="F42" s="225" t="n">
        <x:v>0</x:v>
      </x:c>
      <x:c r="G42" s="219" t="n">
        <x:v>3770</x:v>
      </x:c>
      <x:c r="H42" s="219" t="n">
        <x:v>2150</x:v>
      </x:c>
      <x:c r="I42" s="219" t="n">
        <x:v>530</x:v>
      </x:c>
      <x:c r="J42" s="219" t="n">
        <x:v>0</x:v>
      </x:c>
      <x:c r="K42" s="219" t="n">
        <x:v>0</x:v>
      </x:c>
      <x:c r="L42" s="219" t="n">
        <x:v>0</x:v>
      </x:c>
      <x:c r="M42" s="219" t="n">
        <x:v>0</x:v>
      </x:c>
      <x:c r="N42" s="219" t="n">
        <x:v>0</x:v>
      </x:c>
    </x:row>
    <x:row r="43">
      <x:c r="A43" s="219" t="n">
        <x:v>185000</x:v>
      </x:c>
      <x:c r="B43" s="219" t="n">
        <x:v>187000</x:v>
      </x:c>
      <x:c r="C43" s="225" t="n">
        <x:v>0</x:v>
      </x:c>
      <x:c r="D43" s="219" t="n">
        <x:v>185000</x:v>
      </x:c>
      <x:c r="E43" s="219" t="n">
        <x:v>14700</x:v>
      </x:c>
      <x:c r="F43" s="225" t="n">
        <x:v>0</x:v>
      </x:c>
      <x:c r="G43" s="219" t="n">
        <x:v>3840</x:v>
      </x:c>
      <x:c r="H43" s="219" t="n">
        <x:v>2230</x:v>
      </x:c>
      <x:c r="I43" s="219" t="n">
        <x:v>600</x:v>
      </x:c>
      <x:c r="J43" s="219" t="n">
        <x:v>0</x:v>
      </x:c>
      <x:c r="K43" s="219" t="n">
        <x:v>0</x:v>
      </x:c>
      <x:c r="L43" s="219" t="n">
        <x:v>0</x:v>
      </x:c>
      <x:c r="M43" s="219" t="n">
        <x:v>0</x:v>
      </x:c>
      <x:c r="N43" s="219" t="n">
        <x:v>0</x:v>
      </x:c>
    </x:row>
    <x:row r="44">
      <x:c r="A44" s="219" t="n">
        <x:v>187000</x:v>
      </x:c>
      <x:c r="B44" s="219" t="n">
        <x:v>189000</x:v>
      </x:c>
      <x:c r="C44" s="225" t="n">
        <x:v>0</x:v>
      </x:c>
      <x:c r="D44" s="219" t="n">
        <x:v>187000</x:v>
      </x:c>
      <x:c r="E44" s="219" t="n">
        <x:v>15400</x:v>
      </x:c>
      <x:c r="F44" s="225" t="n">
        <x:v>0</x:v>
      </x:c>
      <x:c r="G44" s="219" t="n">
        <x:v>3910</x:v>
      </x:c>
      <x:c r="H44" s="219" t="n">
        <x:v>2300</x:v>
      </x:c>
      <x:c r="I44" s="219" t="n">
        <x:v>670</x:v>
      </x:c>
      <x:c r="J44" s="219" t="n">
        <x:v>0</x:v>
      </x:c>
      <x:c r="K44" s="219" t="n">
        <x:v>0</x:v>
      </x:c>
      <x:c r="L44" s="219" t="n">
        <x:v>0</x:v>
      </x:c>
      <x:c r="M44" s="219" t="n">
        <x:v>0</x:v>
      </x:c>
      <x:c r="N44" s="219" t="n">
        <x:v>0</x:v>
      </x:c>
    </x:row>
    <x:row r="45">
      <x:c r="A45" s="219" t="n">
        <x:v>189000</x:v>
      </x:c>
      <x:c r="B45" s="219" t="n">
        <x:v>191000</x:v>
      </x:c>
      <x:c r="C45" s="225" t="n">
        <x:v>0</x:v>
      </x:c>
      <x:c r="D45" s="219" t="n">
        <x:v>189000</x:v>
      </x:c>
      <x:c r="E45" s="219" t="n">
        <x:v>16100</x:v>
      </x:c>
      <x:c r="F45" s="225" t="n">
        <x:v>0</x:v>
      </x:c>
      <x:c r="G45" s="219" t="n">
        <x:v>3980</x:v>
      </x:c>
      <x:c r="H45" s="219" t="n">
        <x:v>2370</x:v>
      </x:c>
      <x:c r="I45" s="219" t="n">
        <x:v>750</x:v>
      </x:c>
      <x:c r="J45" s="219" t="n">
        <x:v>0</x:v>
      </x:c>
      <x:c r="K45" s="219" t="n">
        <x:v>0</x:v>
      </x:c>
      <x:c r="L45" s="219" t="n">
        <x:v>0</x:v>
      </x:c>
      <x:c r="M45" s="219" t="n">
        <x:v>0</x:v>
      </x:c>
      <x:c r="N45" s="219" t="n">
        <x:v>0</x:v>
      </x:c>
    </x:row>
    <x:row r="46">
      <x:c r="A46" s="219" t="n">
        <x:v>191000</x:v>
      </x:c>
      <x:c r="B46" s="219" t="n">
        <x:v>193000</x:v>
      </x:c>
      <x:c r="C46" s="225" t="n">
        <x:v>0</x:v>
      </x:c>
      <x:c r="D46" s="219" t="n">
        <x:v>191000</x:v>
      </x:c>
      <x:c r="E46" s="219" t="n">
        <x:v>16800</x:v>
      </x:c>
      <x:c r="F46" s="225" t="n">
        <x:v>0</x:v>
      </x:c>
      <x:c r="G46" s="219" t="n">
        <x:v>4050</x:v>
      </x:c>
      <x:c r="H46" s="219" t="n">
        <x:v>2440</x:v>
      </x:c>
      <x:c r="I46" s="219" t="n">
        <x:v>820</x:v>
      </x:c>
      <x:c r="J46" s="219" t="n">
        <x:v>0</x:v>
      </x:c>
      <x:c r="K46" s="219" t="n">
        <x:v>0</x:v>
      </x:c>
      <x:c r="L46" s="219" t="n">
        <x:v>0</x:v>
      </x:c>
      <x:c r="M46" s="219" t="n">
        <x:v>0</x:v>
      </x:c>
      <x:c r="N46" s="219" t="n">
        <x:v>0</x:v>
      </x:c>
    </x:row>
    <x:row r="47">
      <x:c r="A47" s="219" t="n">
        <x:v>193000</x:v>
      </x:c>
      <x:c r="B47" s="219" t="n">
        <x:v>195000</x:v>
      </x:c>
      <x:c r="C47" s="225" t="n">
        <x:v>0</x:v>
      </x:c>
      <x:c r="D47" s="219" t="n">
        <x:v>193000</x:v>
      </x:c>
      <x:c r="E47" s="219" t="n">
        <x:v>17600</x:v>
      </x:c>
      <x:c r="F47" s="225" t="n">
        <x:v>0</x:v>
      </x:c>
      <x:c r="G47" s="219" t="n">
        <x:v>4120</x:v>
      </x:c>
      <x:c r="H47" s="219" t="n">
        <x:v>2510</x:v>
      </x:c>
      <x:c r="I47" s="219" t="n">
        <x:v>890</x:v>
      </x:c>
      <x:c r="J47" s="219" t="n">
        <x:v>0</x:v>
      </x:c>
      <x:c r="K47" s="219" t="n">
        <x:v>0</x:v>
      </x:c>
      <x:c r="L47" s="219" t="n">
        <x:v>0</x:v>
      </x:c>
      <x:c r="M47" s="219" t="n">
        <x:v>0</x:v>
      </x:c>
      <x:c r="N47" s="219" t="n">
        <x:v>0</x:v>
      </x:c>
    </x:row>
    <x:row r="48">
      <x:c r="A48" s="219" t="n">
        <x:v>195000</x:v>
      </x:c>
      <x:c r="B48" s="219" t="n">
        <x:v>197000</x:v>
      </x:c>
      <x:c r="C48" s="225" t="n">
        <x:v>0</x:v>
      </x:c>
      <x:c r="D48" s="219" t="n">
        <x:v>195000</x:v>
      </x:c>
      <x:c r="E48" s="219" t="n">
        <x:v>18300</x:v>
      </x:c>
      <x:c r="F48" s="225" t="n">
        <x:v>0</x:v>
      </x:c>
      <x:c r="G48" s="219" t="n">
        <x:v>4200</x:v>
      </x:c>
      <x:c r="H48" s="219" t="n">
        <x:v>2580</x:v>
      </x:c>
      <x:c r="I48" s="219" t="n">
        <x:v>960</x:v>
      </x:c>
      <x:c r="J48" s="219" t="n">
        <x:v>0</x:v>
      </x:c>
      <x:c r="K48" s="219" t="n">
        <x:v>0</x:v>
      </x:c>
      <x:c r="L48" s="219" t="n">
        <x:v>0</x:v>
      </x:c>
      <x:c r="M48" s="219" t="n">
        <x:v>0</x:v>
      </x:c>
      <x:c r="N48" s="219" t="n">
        <x:v>0</x:v>
      </x:c>
    </x:row>
    <x:row r="49">
      <x:c r="A49" s="219" t="n">
        <x:v>197000</x:v>
      </x:c>
      <x:c r="B49" s="219" t="n">
        <x:v>199000</x:v>
      </x:c>
      <x:c r="C49" s="225" t="n">
        <x:v>0</x:v>
      </x:c>
      <x:c r="D49" s="219" t="n">
        <x:v>197000</x:v>
      </x:c>
      <x:c r="E49" s="219" t="n">
        <x:v>19000</x:v>
      </x:c>
      <x:c r="F49" s="225" t="n">
        <x:v>0</x:v>
      </x:c>
      <x:c r="G49" s="219" t="n">
        <x:v>4270</x:v>
      </x:c>
      <x:c r="H49" s="219" t="n">
        <x:v>2650</x:v>
      </x:c>
      <x:c r="I49" s="219" t="n">
        <x:v>1030</x:v>
      </x:c>
      <x:c r="J49" s="219" t="n">
        <x:v>0</x:v>
      </x:c>
      <x:c r="K49" s="219" t="n">
        <x:v>0</x:v>
      </x:c>
      <x:c r="L49" s="219" t="n">
        <x:v>0</x:v>
      </x:c>
      <x:c r="M49" s="219" t="n">
        <x:v>0</x:v>
      </x:c>
      <x:c r="N49" s="219" t="n">
        <x:v>0</x:v>
      </x:c>
    </x:row>
    <x:row r="50">
      <x:c r="A50" s="219" t="n">
        <x:v>199000</x:v>
      </x:c>
      <x:c r="B50" s="219" t="n">
        <x:v>201000</x:v>
      </x:c>
      <x:c r="C50" s="225" t="n">
        <x:v>0</x:v>
      </x:c>
      <x:c r="D50" s="219" t="n">
        <x:v>199000</x:v>
      </x:c>
      <x:c r="E50" s="219" t="n">
        <x:v>19700</x:v>
      </x:c>
      <x:c r="F50" s="225" t="n">
        <x:v>0</x:v>
      </x:c>
      <x:c r="G50" s="219" t="n">
        <x:v>4340</x:v>
      </x:c>
      <x:c r="H50" s="219" t="n">
        <x:v>2730</x:v>
      </x:c>
      <x:c r="I50" s="219" t="n">
        <x:v>1100</x:v>
      </x:c>
      <x:c r="J50" s="219" t="n">
        <x:v>0</x:v>
      </x:c>
      <x:c r="K50" s="219" t="n">
        <x:v>0</x:v>
      </x:c>
      <x:c r="L50" s="219" t="n">
        <x:v>0</x:v>
      </x:c>
      <x:c r="M50" s="219" t="n">
        <x:v>0</x:v>
      </x:c>
      <x:c r="N50" s="219" t="n">
        <x:v>0</x:v>
      </x:c>
    </x:row>
    <x:row r="51">
      <x:c r="A51" s="219" t="n">
        <x:v>201000</x:v>
      </x:c>
      <x:c r="B51" s="219" t="n">
        <x:v>203000</x:v>
      </x:c>
      <x:c r="C51" s="225" t="n">
        <x:v>0</x:v>
      </x:c>
      <x:c r="D51" s="219" t="n">
        <x:v>201000</x:v>
      </x:c>
      <x:c r="E51" s="219" t="n">
        <x:v>20400</x:v>
      </x:c>
      <x:c r="F51" s="225" t="n">
        <x:v>0</x:v>
      </x:c>
      <x:c r="G51" s="219" t="n">
        <x:v>4410</x:v>
      </x:c>
      <x:c r="H51" s="219" t="n">
        <x:v>2800</x:v>
      </x:c>
      <x:c r="I51" s="219" t="n">
        <x:v>1170</x:v>
      </x:c>
      <x:c r="J51" s="219" t="n">
        <x:v>0</x:v>
      </x:c>
      <x:c r="K51" s="219" t="n">
        <x:v>0</x:v>
      </x:c>
      <x:c r="L51" s="219" t="n">
        <x:v>0</x:v>
      </x:c>
      <x:c r="M51" s="219" t="n">
        <x:v>0</x:v>
      </x:c>
      <x:c r="N51" s="219" t="n">
        <x:v>0</x:v>
      </x:c>
    </x:row>
    <x:row r="52">
      <x:c r="A52" s="219" t="n">
        <x:v>203000</x:v>
      </x:c>
      <x:c r="B52" s="219" t="n">
        <x:v>205000</x:v>
      </x:c>
      <x:c r="C52" s="225" t="n">
        <x:v>0</x:v>
      </x:c>
      <x:c r="D52" s="219" t="n">
        <x:v>203000</x:v>
      </x:c>
      <x:c r="E52" s="219" t="n">
        <x:v>21000</x:v>
      </x:c>
      <x:c r="F52" s="225" t="n">
        <x:v>0</x:v>
      </x:c>
      <x:c r="G52" s="219" t="n">
        <x:v>4480</x:v>
      </x:c>
      <x:c r="H52" s="219" t="n">
        <x:v>2870</x:v>
      </x:c>
      <x:c r="I52" s="219" t="n">
        <x:v>1250</x:v>
      </x:c>
      <x:c r="J52" s="219" t="n">
        <x:v>0</x:v>
      </x:c>
      <x:c r="K52" s="219" t="n">
        <x:v>0</x:v>
      </x:c>
      <x:c r="L52" s="219" t="n">
        <x:v>0</x:v>
      </x:c>
      <x:c r="M52" s="219" t="n">
        <x:v>0</x:v>
      </x:c>
      <x:c r="N52" s="219" t="n">
        <x:v>0</x:v>
      </x:c>
    </x:row>
    <x:row r="53">
      <x:c r="A53" s="219" t="n">
        <x:v>205000</x:v>
      </x:c>
      <x:c r="B53" s="219" t="n">
        <x:v>207000</x:v>
      </x:c>
      <x:c r="C53" s="225" t="n">
        <x:v>0</x:v>
      </x:c>
      <x:c r="D53" s="219" t="n">
        <x:v>205000</x:v>
      </x:c>
      <x:c r="E53" s="219" t="n">
        <x:v>21700</x:v>
      </x:c>
      <x:c r="F53" s="225" t="n">
        <x:v>0</x:v>
      </x:c>
      <x:c r="G53" s="219" t="n">
        <x:v>4550</x:v>
      </x:c>
      <x:c r="H53" s="219" t="n">
        <x:v>2940</x:v>
      </x:c>
      <x:c r="I53" s="219" t="n">
        <x:v>1320</x:v>
      </x:c>
      <x:c r="J53" s="219" t="n">
        <x:v>0</x:v>
      </x:c>
      <x:c r="K53" s="219" t="n">
        <x:v>0</x:v>
      </x:c>
      <x:c r="L53" s="219" t="n">
        <x:v>0</x:v>
      </x:c>
      <x:c r="M53" s="219" t="n">
        <x:v>0</x:v>
      </x:c>
      <x:c r="N53" s="219" t="n">
        <x:v>0</x:v>
      </x:c>
    </x:row>
    <x:row r="54">
      <x:c r="A54" s="219" t="n">
        <x:v>207000</x:v>
      </x:c>
      <x:c r="B54" s="219" t="n">
        <x:v>209000</x:v>
      </x:c>
      <x:c r="C54" s="225" t="n">
        <x:v>0</x:v>
      </x:c>
      <x:c r="D54" s="219" t="n">
        <x:v>207000</x:v>
      </x:c>
      <x:c r="E54" s="219" t="n">
        <x:v>22500</x:v>
      </x:c>
      <x:c r="F54" s="225" t="n">
        <x:v>0</x:v>
      </x:c>
      <x:c r="G54" s="219" t="n">
        <x:v>4630</x:v>
      </x:c>
      <x:c r="H54" s="219" t="n">
        <x:v>3010</x:v>
      </x:c>
      <x:c r="I54" s="219" t="n">
        <x:v>1390</x:v>
      </x:c>
      <x:c r="J54" s="219" t="n">
        <x:v>0</x:v>
      </x:c>
      <x:c r="K54" s="219" t="n">
        <x:v>0</x:v>
      </x:c>
      <x:c r="L54" s="219" t="n">
        <x:v>0</x:v>
      </x:c>
      <x:c r="M54" s="219" t="n">
        <x:v>0</x:v>
      </x:c>
      <x:c r="N54" s="219" t="n">
        <x:v>0</x:v>
      </x:c>
    </x:row>
    <x:row r="55">
      <x:c r="A55" s="219" t="n">
        <x:v>209000</x:v>
      </x:c>
      <x:c r="B55" s="219" t="n">
        <x:v>211000</x:v>
      </x:c>
      <x:c r="C55" s="225" t="n">
        <x:v>0</x:v>
      </x:c>
      <x:c r="D55" s="219" t="n">
        <x:v>209000</x:v>
      </x:c>
      <x:c r="E55" s="219" t="n">
        <x:v>23000</x:v>
      </x:c>
      <x:c r="F55" s="225" t="n">
        <x:v>0</x:v>
      </x:c>
      <x:c r="G55" s="219" t="n">
        <x:v>4700</x:v>
      </x:c>
      <x:c r="H55" s="219" t="n">
        <x:v>3080</x:v>
      </x:c>
      <x:c r="I55" s="219" t="n">
        <x:v>1460</x:v>
      </x:c>
      <x:c r="J55" s="219" t="n">
        <x:v>0</x:v>
      </x:c>
      <x:c r="K55" s="219" t="n">
        <x:v>0</x:v>
      </x:c>
      <x:c r="L55" s="219" t="n">
        <x:v>0</x:v>
      </x:c>
      <x:c r="M55" s="219" t="n">
        <x:v>0</x:v>
      </x:c>
      <x:c r="N55" s="219" t="n">
        <x:v>0</x:v>
      </x:c>
    </x:row>
    <x:row r="56">
      <x:c r="A56" s="219" t="n">
        <x:v>211000</x:v>
      </x:c>
      <x:c r="B56" s="219" t="n">
        <x:v>213000</x:v>
      </x:c>
      <x:c r="C56" s="225" t="n">
        <x:v>0</x:v>
      </x:c>
      <x:c r="D56" s="219" t="n">
        <x:v>211000</x:v>
      </x:c>
      <x:c r="E56" s="219" t="n">
        <x:v>23600</x:v>
      </x:c>
      <x:c r="F56" s="225" t="n">
        <x:v>0</x:v>
      </x:c>
      <x:c r="G56" s="219" t="n">
        <x:v>4770</x:v>
      </x:c>
      <x:c r="H56" s="219" t="n">
        <x:v>3150</x:v>
      </x:c>
      <x:c r="I56" s="219" t="n">
        <x:v>1530</x:v>
      </x:c>
      <x:c r="J56" s="219" t="n">
        <x:v>0</x:v>
      </x:c>
      <x:c r="K56" s="219" t="n">
        <x:v>0</x:v>
      </x:c>
      <x:c r="L56" s="219" t="n">
        <x:v>0</x:v>
      </x:c>
      <x:c r="M56" s="219" t="n">
        <x:v>0</x:v>
      </x:c>
      <x:c r="N56" s="219" t="n">
        <x:v>0</x:v>
      </x:c>
    </x:row>
    <x:row r="57">
      <x:c r="A57" s="219" t="n">
        <x:v>213000</x:v>
      </x:c>
      <x:c r="B57" s="219" t="n">
        <x:v>215000</x:v>
      </x:c>
      <x:c r="C57" s="225" t="n">
        <x:v>0</x:v>
      </x:c>
      <x:c r="D57" s="219" t="n">
        <x:v>213000</x:v>
      </x:c>
      <x:c r="E57" s="219" t="n">
        <x:v>24100</x:v>
      </x:c>
      <x:c r="F57" s="225" t="n">
        <x:v>0</x:v>
      </x:c>
      <x:c r="G57" s="219" t="n">
        <x:v>4840</x:v>
      </x:c>
      <x:c r="H57" s="219" t="n">
        <x:v>3230</x:v>
      </x:c>
      <x:c r="I57" s="219" t="n">
        <x:v>1600</x:v>
      </x:c>
      <x:c r="J57" s="219" t="n">
        <x:v>0</x:v>
      </x:c>
      <x:c r="K57" s="219" t="n">
        <x:v>0</x:v>
      </x:c>
      <x:c r="L57" s="219" t="n">
        <x:v>0</x:v>
      </x:c>
      <x:c r="M57" s="219" t="n">
        <x:v>0</x:v>
      </x:c>
      <x:c r="N57" s="219" t="n">
        <x:v>0</x:v>
      </x:c>
    </x:row>
    <x:row r="58">
      <x:c r="A58" s="219" t="n">
        <x:v>215000</x:v>
      </x:c>
      <x:c r="B58" s="219" t="n">
        <x:v>217000</x:v>
      </x:c>
      <x:c r="C58" s="225" t="n">
        <x:v>0</x:v>
      </x:c>
      <x:c r="D58" s="219" t="n">
        <x:v>215000</x:v>
      </x:c>
      <x:c r="E58" s="219" t="n">
        <x:v>24700</x:v>
      </x:c>
      <x:c r="F58" s="225" t="n">
        <x:v>0</x:v>
      </x:c>
      <x:c r="G58" s="219" t="n">
        <x:v>4910</x:v>
      </x:c>
      <x:c r="H58" s="219" t="n">
        <x:v>3300</x:v>
      </x:c>
      <x:c r="I58" s="219" t="n">
        <x:v>1670</x:v>
      </x:c>
      <x:c r="J58" s="219" t="n">
        <x:v>0</x:v>
      </x:c>
      <x:c r="K58" s="219" t="n">
        <x:v>0</x:v>
      </x:c>
      <x:c r="L58" s="219" t="n">
        <x:v>0</x:v>
      </x:c>
      <x:c r="M58" s="219" t="n">
        <x:v>0</x:v>
      </x:c>
      <x:c r="N58" s="219" t="n">
        <x:v>0</x:v>
      </x:c>
    </x:row>
    <x:row r="59">
      <x:c r="A59" s="219" t="n">
        <x:v>217000</x:v>
      </x:c>
      <x:c r="B59" s="219" t="n">
        <x:v>219000</x:v>
      </x:c>
      <x:c r="C59" s="225" t="n">
        <x:v>0</x:v>
      </x:c>
      <x:c r="D59" s="219" t="n">
        <x:v>217000</x:v>
      </x:c>
      <x:c r="E59" s="219" t="n">
        <x:v>25300</x:v>
      </x:c>
      <x:c r="F59" s="225" t="n">
        <x:v>0</x:v>
      </x:c>
      <x:c r="G59" s="219" t="n">
        <x:v>4980</x:v>
      </x:c>
      <x:c r="H59" s="219" t="n">
        <x:v>3370</x:v>
      </x:c>
      <x:c r="I59" s="219" t="n">
        <x:v>1750</x:v>
      </x:c>
      <x:c r="J59" s="219" t="n">
        <x:v>130</x:v>
      </x:c>
      <x:c r="K59" s="219" t="n">
        <x:v>0</x:v>
      </x:c>
      <x:c r="L59" s="219" t="n">
        <x:v>0</x:v>
      </x:c>
      <x:c r="M59" s="219" t="n">
        <x:v>0</x:v>
      </x:c>
      <x:c r="N59" s="219" t="n">
        <x:v>0</x:v>
      </x:c>
    </x:row>
    <x:row r="60">
      <x:c r="A60" s="219" t="n">
        <x:v>219000</x:v>
      </x:c>
      <x:c r="B60" s="219" t="n">
        <x:v>221000</x:v>
      </x:c>
      <x:c r="C60" s="225" t="n">
        <x:v>0</x:v>
      </x:c>
      <x:c r="D60" s="219" t="n">
        <x:v>219000</x:v>
      </x:c>
      <x:c r="E60" s="219" t="n">
        <x:v>25800</x:v>
      </x:c>
      <x:c r="F60" s="225" t="n">
        <x:v>0</x:v>
      </x:c>
      <x:c r="G60" s="219" t="n">
        <x:v>5050</x:v>
      </x:c>
      <x:c r="H60" s="219" t="n">
        <x:v>3440</x:v>
      </x:c>
      <x:c r="I60" s="219" t="n">
        <x:v>1820</x:v>
      </x:c>
      <x:c r="J60" s="219" t="n">
        <x:v>200</x:v>
      </x:c>
      <x:c r="K60" s="219" t="n">
        <x:v>0</x:v>
      </x:c>
      <x:c r="L60" s="219" t="n">
        <x:v>0</x:v>
      </x:c>
      <x:c r="M60" s="219" t="n">
        <x:v>0</x:v>
      </x:c>
      <x:c r="N60" s="219" t="n">
        <x:v>0</x:v>
      </x:c>
    </x:row>
    <x:row r="61">
      <x:c r="A61" s="219" t="n">
        <x:v>221000</x:v>
      </x:c>
      <x:c r="B61" s="219" t="n">
        <x:v>224000</x:v>
      </x:c>
      <x:c r="C61" s="225" t="n">
        <x:v>0</x:v>
      </x:c>
      <x:c r="D61" s="219" t="n">
        <x:v>221000</x:v>
      </x:c>
      <x:c r="E61" s="219" t="n">
        <x:v>26400</x:v>
      </x:c>
      <x:c r="F61" s="225" t="n">
        <x:v>0</x:v>
      </x:c>
      <x:c r="G61" s="219" t="n">
        <x:v>5150</x:v>
      </x:c>
      <x:c r="H61" s="219" t="n">
        <x:v>3520</x:v>
      </x:c>
      <x:c r="I61" s="219" t="n">
        <x:v>1910</x:v>
      </x:c>
      <x:c r="J61" s="219" t="n">
        <x:v>300</x:v>
      </x:c>
      <x:c r="K61" s="219" t="n">
        <x:v>0</x:v>
      </x:c>
      <x:c r="L61" s="219" t="n">
        <x:v>0</x:v>
      </x:c>
      <x:c r="M61" s="219" t="n">
        <x:v>0</x:v>
      </x:c>
      <x:c r="N61" s="219" t="n">
        <x:v>0</x:v>
      </x:c>
    </x:row>
    <x:row r="62">
      <x:c r="A62" s="219" t="n">
        <x:v>224000</x:v>
      </x:c>
      <x:c r="B62" s="219" t="n">
        <x:v>227000</x:v>
      </x:c>
      <x:c r="C62" s="225" t="n">
        <x:v>0</x:v>
      </x:c>
      <x:c r="D62" s="219" t="n">
        <x:v>224000</x:v>
      </x:c>
      <x:c r="E62" s="219" t="n">
        <x:v>27500</x:v>
      </x:c>
      <x:c r="F62" s="225" t="n">
        <x:v>0</x:v>
      </x:c>
      <x:c r="G62" s="219" t="n">
        <x:v>5250</x:v>
      </x:c>
      <x:c r="H62" s="219" t="n">
        <x:v>3630</x:v>
      </x:c>
      <x:c r="I62" s="219" t="n">
        <x:v>2020</x:v>
      </x:c>
      <x:c r="J62" s="219" t="n">
        <x:v>400</x:v>
      </x:c>
      <x:c r="K62" s="219" t="n">
        <x:v>0</x:v>
      </x:c>
      <x:c r="L62" s="219" t="n">
        <x:v>0</x:v>
      </x:c>
      <x:c r="M62" s="219" t="n">
        <x:v>0</x:v>
      </x:c>
      <x:c r="N62" s="219" t="n">
        <x:v>0</x:v>
      </x:c>
    </x:row>
    <x:row r="63">
      <x:c r="A63" s="219" t="n">
        <x:v>227000</x:v>
      </x:c>
      <x:c r="B63" s="219" t="n">
        <x:v>230000</x:v>
      </x:c>
      <x:c r="C63" s="225" t="n">
        <x:v>0</x:v>
      </x:c>
      <x:c r="D63" s="219" t="n">
        <x:v>227000</x:v>
      </x:c>
      <x:c r="E63" s="219" t="n">
        <x:v>28500</x:v>
      </x:c>
      <x:c r="F63" s="225" t="n">
        <x:v>0</x:v>
      </x:c>
      <x:c r="G63" s="219" t="n">
        <x:v>5360</x:v>
      </x:c>
      <x:c r="H63" s="219" t="n">
        <x:v>3740</x:v>
      </x:c>
      <x:c r="I63" s="219" t="n">
        <x:v>2120</x:v>
      </x:c>
      <x:c r="J63" s="219" t="n">
        <x:v>510</x:v>
      </x:c>
      <x:c r="K63" s="219" t="n">
        <x:v>0</x:v>
      </x:c>
      <x:c r="L63" s="219" t="n">
        <x:v>0</x:v>
      </x:c>
      <x:c r="M63" s="219" t="n">
        <x:v>0</x:v>
      </x:c>
      <x:c r="N63" s="219" t="n">
        <x:v>0</x:v>
      </x:c>
    </x:row>
    <x:row r="64">
      <x:c r="A64" s="219" t="n">
        <x:v>230000</x:v>
      </x:c>
      <x:c r="B64" s="219" t="n">
        <x:v>233000</x:v>
      </x:c>
      <x:c r="C64" s="225" t="n">
        <x:v>0</x:v>
      </x:c>
      <x:c r="D64" s="219" t="n">
        <x:v>230000</x:v>
      </x:c>
      <x:c r="E64" s="219" t="n">
        <x:v>29500</x:v>
      </x:c>
      <x:c r="F64" s="225" t="n">
        <x:v>0</x:v>
      </x:c>
      <x:c r="G64" s="219" t="n">
        <x:v>5460</x:v>
      </x:c>
      <x:c r="H64" s="219" t="n">
        <x:v>3850</x:v>
      </x:c>
      <x:c r="I64" s="219" t="n">
        <x:v>2240</x:v>
      </x:c>
      <x:c r="J64" s="219" t="n">
        <x:v>610</x:v>
      </x:c>
      <x:c r="K64" s="219" t="n">
        <x:v>0</x:v>
      </x:c>
      <x:c r="L64" s="219" t="n">
        <x:v>0</x:v>
      </x:c>
      <x:c r="M64" s="219" t="n">
        <x:v>0</x:v>
      </x:c>
      <x:c r="N64" s="219" t="n">
        <x:v>0</x:v>
      </x:c>
    </x:row>
    <x:row r="65">
      <x:c r="A65" s="219" t="n">
        <x:v>233000</x:v>
      </x:c>
      <x:c r="B65" s="219" t="n">
        <x:v>236000</x:v>
      </x:c>
      <x:c r="C65" s="225" t="n">
        <x:v>0</x:v>
      </x:c>
      <x:c r="D65" s="219" t="n">
        <x:v>233000</x:v>
      </x:c>
      <x:c r="E65" s="219" t="n">
        <x:v>30500</x:v>
      </x:c>
      <x:c r="F65" s="225" t="n">
        <x:v>0</x:v>
      </x:c>
      <x:c r="G65" s="219" t="n">
        <x:v>5570</x:v>
      </x:c>
      <x:c r="H65" s="219" t="n">
        <x:v>3950</x:v>
      </x:c>
      <x:c r="I65" s="219" t="n">
        <x:v>2340</x:v>
      </x:c>
      <x:c r="J65" s="219" t="n">
        <x:v>720</x:v>
      </x:c>
      <x:c r="K65" s="219" t="n">
        <x:v>0</x:v>
      </x:c>
      <x:c r="L65" s="219" t="n">
        <x:v>0</x:v>
      </x:c>
      <x:c r="M65" s="219" t="n">
        <x:v>0</x:v>
      </x:c>
      <x:c r="N65" s="219" t="n">
        <x:v>0</x:v>
      </x:c>
    </x:row>
    <x:row r="66">
      <x:c r="A66" s="219" t="n">
        <x:v>236000</x:v>
      </x:c>
      <x:c r="B66" s="219" t="n">
        <x:v>239000</x:v>
      </x:c>
      <x:c r="C66" s="225" t="n">
        <x:v>0</x:v>
      </x:c>
      <x:c r="D66" s="219" t="n">
        <x:v>236000</x:v>
      </x:c>
      <x:c r="E66" s="219" t="n">
        <x:v>31500</x:v>
      </x:c>
      <x:c r="F66" s="225" t="n">
        <x:v>0</x:v>
      </x:c>
      <x:c r="G66" s="219" t="n">
        <x:v>5680</x:v>
      </x:c>
      <x:c r="H66" s="219" t="n">
        <x:v>4060</x:v>
      </x:c>
      <x:c r="I66" s="219" t="n">
        <x:v>2450</x:v>
      </x:c>
      <x:c r="J66" s="219" t="n">
        <x:v>830</x:v>
      </x:c>
      <x:c r="K66" s="219" t="n">
        <x:v>0</x:v>
      </x:c>
      <x:c r="L66" s="219" t="n">
        <x:v>0</x:v>
      </x:c>
      <x:c r="M66" s="219" t="n">
        <x:v>0</x:v>
      </x:c>
      <x:c r="N66" s="219" t="n">
        <x:v>0</x:v>
      </x:c>
    </x:row>
    <x:row r="67">
      <x:c r="A67" s="219" t="n">
        <x:v>239000</x:v>
      </x:c>
      <x:c r="B67" s="219" t="n">
        <x:v>242000</x:v>
      </x:c>
      <x:c r="C67" s="225" t="n">
        <x:v>0</x:v>
      </x:c>
      <x:c r="D67" s="219" t="n">
        <x:v>239000</x:v>
      </x:c>
      <x:c r="E67" s="219" t="n">
        <x:v>32600</x:v>
      </x:c>
      <x:c r="F67" s="225" t="n">
        <x:v>0</x:v>
      </x:c>
      <x:c r="G67" s="219" t="n">
        <x:v>5790</x:v>
      </x:c>
      <x:c r="H67" s="219" t="n">
        <x:v>4170</x:v>
      </x:c>
      <x:c r="I67" s="219" t="n">
        <x:v>2550</x:v>
      </x:c>
      <x:c r="J67" s="219" t="n">
        <x:v>940</x:v>
      </x:c>
      <x:c r="K67" s="219" t="n">
        <x:v>0</x:v>
      </x:c>
      <x:c r="L67" s="219" t="n">
        <x:v>0</x:v>
      </x:c>
      <x:c r="M67" s="219" t="n">
        <x:v>0</x:v>
      </x:c>
      <x:c r="N67" s="219" t="n">
        <x:v>0</x:v>
      </x:c>
    </x:row>
    <x:row r="68">
      <x:c r="A68" s="219" t="n">
        <x:v>242000</x:v>
      </x:c>
      <x:c r="B68" s="219" t="n">
        <x:v>245000</x:v>
      </x:c>
      <x:c r="C68" s="225" t="n">
        <x:v>0</x:v>
      </x:c>
      <x:c r="D68" s="219" t="n">
        <x:v>242000</x:v>
      </x:c>
      <x:c r="E68" s="219" t="n">
        <x:v>33600</x:v>
      </x:c>
      <x:c r="F68" s="225" t="n">
        <x:v>0</x:v>
      </x:c>
      <x:c r="G68" s="219" t="n">
        <x:v>5890</x:v>
      </x:c>
      <x:c r="H68" s="219" t="n">
        <x:v>4280</x:v>
      </x:c>
      <x:c r="I68" s="219" t="n">
        <x:v>2660</x:v>
      </x:c>
      <x:c r="J68" s="219" t="n">
        <x:v>1040</x:v>
      </x:c>
      <x:c r="K68" s="219" t="n">
        <x:v>0</x:v>
      </x:c>
      <x:c r="L68" s="219" t="n">
        <x:v>0</x:v>
      </x:c>
      <x:c r="M68" s="219" t="n">
        <x:v>0</x:v>
      </x:c>
      <x:c r="N68" s="219" t="n">
        <x:v>0</x:v>
      </x:c>
    </x:row>
    <x:row r="69">
      <x:c r="A69" s="219" t="n">
        <x:v>245000</x:v>
      </x:c>
      <x:c r="B69" s="219" t="n">
        <x:v>248000</x:v>
      </x:c>
      <x:c r="C69" s="225" t="n">
        <x:v>0</x:v>
      </x:c>
      <x:c r="D69" s="219" t="n">
        <x:v>245000</x:v>
      </x:c>
      <x:c r="E69" s="219" t="n">
        <x:v>34600</x:v>
      </x:c>
      <x:c r="F69" s="225" t="n">
        <x:v>0</x:v>
      </x:c>
      <x:c r="G69" s="219" t="n">
        <x:v>6000</x:v>
      </x:c>
      <x:c r="H69" s="219" t="n">
        <x:v>4380</x:v>
      </x:c>
      <x:c r="I69" s="219" t="n">
        <x:v>2770</x:v>
      </x:c>
      <x:c r="J69" s="219" t="n">
        <x:v>1150</x:v>
      </x:c>
      <x:c r="K69" s="219" t="n">
        <x:v>0</x:v>
      </x:c>
      <x:c r="L69" s="219" t="n">
        <x:v>0</x:v>
      </x:c>
      <x:c r="M69" s="219" t="n">
        <x:v>0</x:v>
      </x:c>
      <x:c r="N69" s="219" t="n">
        <x:v>0</x:v>
      </x:c>
    </x:row>
    <x:row r="70">
      <x:c r="A70" s="219" t="n">
        <x:v>248000</x:v>
      </x:c>
      <x:c r="B70" s="219" t="n">
        <x:v>251000</x:v>
      </x:c>
      <x:c r="C70" s="225" t="n">
        <x:v>0</x:v>
      </x:c>
      <x:c r="D70" s="219" t="n">
        <x:v>248000</x:v>
      </x:c>
      <x:c r="E70" s="219" t="n">
        <x:v>35500</x:v>
      </x:c>
      <x:c r="F70" s="225" t="n">
        <x:v>0</x:v>
      </x:c>
      <x:c r="G70" s="219" t="n">
        <x:v>6110</x:v>
      </x:c>
      <x:c r="H70" s="219" t="n">
        <x:v>4490</x:v>
      </x:c>
      <x:c r="I70" s="219" t="n">
        <x:v>2880</x:v>
      </x:c>
      <x:c r="J70" s="219" t="n">
        <x:v>1260</x:v>
      </x:c>
      <x:c r="K70" s="219" t="n">
        <x:v>0</x:v>
      </x:c>
      <x:c r="L70" s="219" t="n">
        <x:v>0</x:v>
      </x:c>
      <x:c r="M70" s="219" t="n">
        <x:v>0</x:v>
      </x:c>
      <x:c r="N70" s="219" t="n">
        <x:v>0</x:v>
      </x:c>
    </x:row>
    <x:row r="71">
      <x:c r="A71" s="219" t="n">
        <x:v>251000</x:v>
      </x:c>
      <x:c r="B71" s="219" t="n">
        <x:v>254000</x:v>
      </x:c>
      <x:c r="C71" s="225" t="n">
        <x:v>0</x:v>
      </x:c>
      <x:c r="D71" s="219" t="n">
        <x:v>251000</x:v>
      </x:c>
      <x:c r="E71" s="219" t="n">
        <x:v>36600</x:v>
      </x:c>
      <x:c r="F71" s="225" t="n">
        <x:v>0</x:v>
      </x:c>
      <x:c r="G71" s="219" t="n">
        <x:v>6220</x:v>
      </x:c>
      <x:c r="H71" s="219" t="n">
        <x:v>4590</x:v>
      </x:c>
      <x:c r="I71" s="219" t="n">
        <x:v>2980</x:v>
      </x:c>
      <x:c r="J71" s="219" t="n">
        <x:v>1370</x:v>
      </x:c>
      <x:c r="K71" s="219" t="n">
        <x:v>0</x:v>
      </x:c>
      <x:c r="L71" s="219" t="n">
        <x:v>0</x:v>
      </x:c>
      <x:c r="M71" s="219" t="n">
        <x:v>0</x:v>
      </x:c>
      <x:c r="N71" s="219" t="n">
        <x:v>0</x:v>
      </x:c>
    </x:row>
    <x:row r="72">
      <x:c r="A72" s="219" t="n">
        <x:v>254000</x:v>
      </x:c>
      <x:c r="B72" s="219" t="n">
        <x:v>257000</x:v>
      </x:c>
      <x:c r="C72" s="225" t="n">
        <x:v>0</x:v>
      </x:c>
      <x:c r="D72" s="219" t="n">
        <x:v>254000</x:v>
      </x:c>
      <x:c r="E72" s="219" t="n">
        <x:v>37600</x:v>
      </x:c>
      <x:c r="F72" s="225" t="n">
        <x:v>0</x:v>
      </x:c>
      <x:c r="G72" s="219" t="n">
        <x:v>6320</x:v>
      </x:c>
      <x:c r="H72" s="219" t="n">
        <x:v>4710</x:v>
      </x:c>
      <x:c r="I72" s="219" t="n">
        <x:v>3090</x:v>
      </x:c>
      <x:c r="J72" s="219" t="n">
        <x:v>1470</x:v>
      </x:c>
      <x:c r="K72" s="219" t="n">
        <x:v>0</x:v>
      </x:c>
      <x:c r="L72" s="219" t="n">
        <x:v>0</x:v>
      </x:c>
      <x:c r="M72" s="219" t="n">
        <x:v>0</x:v>
      </x:c>
      <x:c r="N72" s="219" t="n">
        <x:v>0</x:v>
      </x:c>
    </x:row>
    <x:row r="73">
      <x:c r="A73" s="219" t="n">
        <x:v>257000</x:v>
      </x:c>
      <x:c r="B73" s="219" t="n">
        <x:v>260000</x:v>
      </x:c>
      <x:c r="C73" s="225" t="n">
        <x:v>0</x:v>
      </x:c>
      <x:c r="D73" s="219" t="n">
        <x:v>257000</x:v>
      </x:c>
      <x:c r="E73" s="219" t="n">
        <x:v>38600</x:v>
      </x:c>
      <x:c r="F73" s="225" t="n">
        <x:v>0</x:v>
      </x:c>
      <x:c r="G73" s="219" t="n">
        <x:v>6430</x:v>
      </x:c>
      <x:c r="H73" s="219" t="n">
        <x:v>4810</x:v>
      </x:c>
      <x:c r="I73" s="219" t="n">
        <x:v>3200</x:v>
      </x:c>
      <x:c r="J73" s="219" t="n">
        <x:v>1580</x:v>
      </x:c>
      <x:c r="K73" s="219" t="n">
        <x:v>0</x:v>
      </x:c>
      <x:c r="L73" s="219" t="n">
        <x:v>0</x:v>
      </x:c>
      <x:c r="M73" s="219" t="n">
        <x:v>0</x:v>
      </x:c>
      <x:c r="N73" s="219" t="n">
        <x:v>0</x:v>
      </x:c>
    </x:row>
    <x:row r="74">
      <x:c r="A74" s="219" t="n">
        <x:v>260000</x:v>
      </x:c>
      <x:c r="B74" s="219" t="n">
        <x:v>263000</x:v>
      </x:c>
      <x:c r="C74" s="225" t="n">
        <x:v>0</x:v>
      </x:c>
      <x:c r="D74" s="219" t="n">
        <x:v>260000</x:v>
      </x:c>
      <x:c r="E74" s="219" t="n">
        <x:v>39600</x:v>
      </x:c>
      <x:c r="F74" s="225" t="n">
        <x:v>0</x:v>
      </x:c>
      <x:c r="G74" s="219" t="n">
        <x:v>6530</x:v>
      </x:c>
      <x:c r="H74" s="219" t="n">
        <x:v>4920</x:v>
      </x:c>
      <x:c r="I74" s="219" t="n">
        <x:v>3310</x:v>
      </x:c>
      <x:c r="J74" s="219" t="n">
        <x:v>1680</x:v>
      </x:c>
      <x:c r="K74" s="219" t="n">
        <x:v>0</x:v>
      </x:c>
      <x:c r="L74" s="219" t="n">
        <x:v>0</x:v>
      </x:c>
      <x:c r="M74" s="219" t="n">
        <x:v>0</x:v>
      </x:c>
      <x:c r="N74" s="219" t="n">
        <x:v>0</x:v>
      </x:c>
    </x:row>
    <x:row r="75">
      <x:c r="A75" s="219" t="n">
        <x:v>263000</x:v>
      </x:c>
      <x:c r="B75" s="219" t="n">
        <x:v>266000</x:v>
      </x:c>
      <x:c r="C75" s="225" t="n">
        <x:v>0</x:v>
      </x:c>
      <x:c r="D75" s="219" t="n">
        <x:v>263000</x:v>
      </x:c>
      <x:c r="E75" s="219" t="n">
        <x:v>40600</x:v>
      </x:c>
      <x:c r="F75" s="225" t="n">
        <x:v>0</x:v>
      </x:c>
      <x:c r="G75" s="219" t="n">
        <x:v>6650</x:v>
      </x:c>
      <x:c r="H75" s="219" t="n">
        <x:v>5020</x:v>
      </x:c>
      <x:c r="I75" s="219" t="n">
        <x:v>3410</x:v>
      </x:c>
      <x:c r="J75" s="219" t="n">
        <x:v>1800</x:v>
      </x:c>
      <x:c r="K75" s="219" t="n">
        <x:v>170</x:v>
      </x:c>
      <x:c r="L75" s="219" t="n">
        <x:v>0</x:v>
      </x:c>
      <x:c r="M75" s="219" t="n">
        <x:v>0</x:v>
      </x:c>
      <x:c r="N75" s="219" t="n">
        <x:v>0</x:v>
      </x:c>
    </x:row>
    <x:row r="76">
      <x:c r="A76" s="219" t="n">
        <x:v>266000</x:v>
      </x:c>
      <x:c r="B76" s="219" t="n">
        <x:v>269000</x:v>
      </x:c>
      <x:c r="C76" s="225" t="n">
        <x:v>0</x:v>
      </x:c>
      <x:c r="D76" s="219" t="n">
        <x:v>266000</x:v>
      </x:c>
      <x:c r="E76" s="219" t="n">
        <x:v>41700</x:v>
      </x:c>
      <x:c r="F76" s="225" t="n">
        <x:v>0</x:v>
      </x:c>
      <x:c r="G76" s="219" t="n">
        <x:v>6750</x:v>
      </x:c>
      <x:c r="H76" s="219" t="n">
        <x:v>5140</x:v>
      </x:c>
      <x:c r="I76" s="219" t="n">
        <x:v>3520</x:v>
      </x:c>
      <x:c r="J76" s="219" t="n">
        <x:v>1900</x:v>
      </x:c>
      <x:c r="K76" s="219" t="n">
        <x:v>290</x:v>
      </x:c>
      <x:c r="L76" s="219" t="n">
        <x:v>0</x:v>
      </x:c>
      <x:c r="M76" s="219" t="n">
        <x:v>0</x:v>
      </x:c>
      <x:c r="N76" s="219" t="n">
        <x:v>0</x:v>
      </x:c>
    </x:row>
    <x:row r="77">
      <x:c r="A77" s="219" t="n">
        <x:v>269000</x:v>
      </x:c>
      <x:c r="B77" s="219" t="n">
        <x:v>272000</x:v>
      </x:c>
      <x:c r="C77" s="225" t="n">
        <x:v>0</x:v>
      </x:c>
      <x:c r="D77" s="219" t="n">
        <x:v>269000</x:v>
      </x:c>
      <x:c r="E77" s="219" t="n">
        <x:v>42700</x:v>
      </x:c>
      <x:c r="F77" s="225" t="n">
        <x:v>0</x:v>
      </x:c>
      <x:c r="G77" s="219" t="n">
        <x:v>6860</x:v>
      </x:c>
      <x:c r="H77" s="219" t="n">
        <x:v>5240</x:v>
      </x:c>
      <x:c r="I77" s="219" t="n">
        <x:v>3620</x:v>
      </x:c>
      <x:c r="J77" s="219" t="n">
        <x:v>2010</x:v>
      </x:c>
      <x:c r="K77" s="219" t="n">
        <x:v>390</x:v>
      </x:c>
      <x:c r="L77" s="219" t="n">
        <x:v>0</x:v>
      </x:c>
      <x:c r="M77" s="219" t="n">
        <x:v>0</x:v>
      </x:c>
      <x:c r="N77" s="219" t="n">
        <x:v>0</x:v>
      </x:c>
    </x:row>
    <x:row r="78">
      <x:c r="A78" s="219" t="n">
        <x:v>272000</x:v>
      </x:c>
      <x:c r="B78" s="219" t="n">
        <x:v>275000</x:v>
      </x:c>
      <x:c r="C78" s="225" t="n">
        <x:v>0</x:v>
      </x:c>
      <x:c r="D78" s="219" t="n">
        <x:v>272000</x:v>
      </x:c>
      <x:c r="E78" s="219" t="n">
        <x:v>43700</x:v>
      </x:c>
      <x:c r="F78" s="225" t="n">
        <x:v>0</x:v>
      </x:c>
      <x:c r="G78" s="219" t="n">
        <x:v>6960</x:v>
      </x:c>
      <x:c r="H78" s="219" t="n">
        <x:v>5350</x:v>
      </x:c>
      <x:c r="I78" s="219" t="n">
        <x:v>3740</x:v>
      </x:c>
      <x:c r="J78" s="219" t="n">
        <x:v>2110</x:v>
      </x:c>
      <x:c r="K78" s="219" t="n">
        <x:v>500</x:v>
      </x:c>
      <x:c r="L78" s="219" t="n">
        <x:v>0</x:v>
      </x:c>
      <x:c r="M78" s="219" t="n">
        <x:v>0</x:v>
      </x:c>
      <x:c r="N78" s="219" t="n">
        <x:v>0</x:v>
      </x:c>
    </x:row>
    <x:row r="79">
      <x:c r="A79" s="219" t="n">
        <x:v>275000</x:v>
      </x:c>
      <x:c r="B79" s="219" t="n">
        <x:v>278000</x:v>
      </x:c>
      <x:c r="C79" s="225" t="n">
        <x:v>0</x:v>
      </x:c>
      <x:c r="D79" s="219" t="n">
        <x:v>275000</x:v>
      </x:c>
      <x:c r="E79" s="219" t="n">
        <x:v>44700</x:v>
      </x:c>
      <x:c r="F79" s="225" t="n">
        <x:v>0</x:v>
      </x:c>
      <x:c r="G79" s="219" t="n">
        <x:v>7080</x:v>
      </x:c>
      <x:c r="H79" s="219" t="n">
        <x:v>5450</x:v>
      </x:c>
      <x:c r="I79" s="219" t="n">
        <x:v>3840</x:v>
      </x:c>
      <x:c r="J79" s="219" t="n">
        <x:v>2230</x:v>
      </x:c>
      <x:c r="K79" s="219" t="n">
        <x:v>600</x:v>
      </x:c>
      <x:c r="L79" s="219" t="n">
        <x:v>0</x:v>
      </x:c>
      <x:c r="M79" s="219" t="n">
        <x:v>0</x:v>
      </x:c>
      <x:c r="N79" s="219" t="n">
        <x:v>0</x:v>
      </x:c>
    </x:row>
    <x:row r="80">
      <x:c r="A80" s="219" t="n">
        <x:v>278000</x:v>
      </x:c>
      <x:c r="B80" s="219" t="n">
        <x:v>281000</x:v>
      </x:c>
      <x:c r="C80" s="225" t="n">
        <x:v>0</x:v>
      </x:c>
      <x:c r="D80" s="219" t="n">
        <x:v>278000</x:v>
      </x:c>
      <x:c r="E80" s="219" t="n">
        <x:v>45600</x:v>
      </x:c>
      <x:c r="F80" s="225" t="n">
        <x:v>0</x:v>
      </x:c>
      <x:c r="G80" s="219" t="n">
        <x:v>7180</x:v>
      </x:c>
      <x:c r="H80" s="219" t="n">
        <x:v>5560</x:v>
      </x:c>
      <x:c r="I80" s="219" t="n">
        <x:v>3950</x:v>
      </x:c>
      <x:c r="J80" s="219" t="n">
        <x:v>2330</x:v>
      </x:c>
      <x:c r="K80" s="219" t="n">
        <x:v>710</x:v>
      </x:c>
      <x:c r="L80" s="219" t="n">
        <x:v>0</x:v>
      </x:c>
      <x:c r="M80" s="219" t="n">
        <x:v>0</x:v>
      </x:c>
      <x:c r="N80" s="219" t="n">
        <x:v>0</x:v>
      </x:c>
    </x:row>
    <x:row r="81">
      <x:c r="A81" s="219" t="n">
        <x:v>281000</x:v>
      </x:c>
      <x:c r="B81" s="219" t="n">
        <x:v>284000</x:v>
      </x:c>
      <x:c r="C81" s="225" t="n">
        <x:v>0</x:v>
      </x:c>
      <x:c r="D81" s="219" t="n">
        <x:v>281000</x:v>
      </x:c>
      <x:c r="E81" s="219" t="n">
        <x:v>46700</x:v>
      </x:c>
      <x:c r="F81" s="225" t="n">
        <x:v>0</x:v>
      </x:c>
      <x:c r="G81" s="219" t="n">
        <x:v>7290</x:v>
      </x:c>
      <x:c r="H81" s="219" t="n">
        <x:v>5670</x:v>
      </x:c>
      <x:c r="I81" s="219" t="n">
        <x:v>4050</x:v>
      </x:c>
      <x:c r="J81" s="219" t="n">
        <x:v>2440</x:v>
      </x:c>
      <x:c r="K81" s="219" t="n">
        <x:v>820</x:v>
      </x:c>
      <x:c r="L81" s="219" t="n">
        <x:v>0</x:v>
      </x:c>
      <x:c r="M81" s="219" t="n">
        <x:v>0</x:v>
      </x:c>
      <x:c r="N81" s="219" t="n">
        <x:v>0</x:v>
      </x:c>
    </x:row>
    <x:row r="82">
      <x:c r="A82" s="219" t="n">
        <x:v>284000</x:v>
      </x:c>
      <x:c r="B82" s="219" t="n">
        <x:v>287000</x:v>
      </x:c>
      <x:c r="C82" s="225" t="n">
        <x:v>0</x:v>
      </x:c>
      <x:c r="D82" s="219" t="n">
        <x:v>284000</x:v>
      </x:c>
      <x:c r="E82" s="219" t="n">
        <x:v>47800</x:v>
      </x:c>
      <x:c r="F82" s="225" t="n">
        <x:v>0</x:v>
      </x:c>
      <x:c r="G82" s="219" t="n">
        <x:v>7390</x:v>
      </x:c>
      <x:c r="H82" s="219" t="n">
        <x:v>5780</x:v>
      </x:c>
      <x:c r="I82" s="219" t="n">
        <x:v>4170</x:v>
      </x:c>
      <x:c r="J82" s="219" t="n">
        <x:v>2540</x:v>
      </x:c>
      <x:c r="K82" s="219" t="n">
        <x:v>930</x:v>
      </x:c>
      <x:c r="L82" s="219" t="n">
        <x:v>0</x:v>
      </x:c>
      <x:c r="M82" s="219" t="n">
        <x:v>0</x:v>
      </x:c>
      <x:c r="N82" s="219" t="n">
        <x:v>0</x:v>
      </x:c>
    </x:row>
    <x:row r="83">
      <x:c r="A83" s="219" t="n">
        <x:v>287000</x:v>
      </x:c>
      <x:c r="B83" s="219" t="n">
        <x:v>290000</x:v>
      </x:c>
      <x:c r="C83" s="225" t="n">
        <x:v>0</x:v>
      </x:c>
      <x:c r="D83" s="219" t="n">
        <x:v>287000</x:v>
      </x:c>
      <x:c r="E83" s="219" t="n">
        <x:v>48900</x:v>
      </x:c>
      <x:c r="F83" s="225" t="n">
        <x:v>0</x:v>
      </x:c>
      <x:c r="G83" s="219" t="n">
        <x:v>7500</x:v>
      </x:c>
      <x:c r="H83" s="219" t="n">
        <x:v>5880</x:v>
      </x:c>
      <x:c r="I83" s="219" t="n">
        <x:v>4270</x:v>
      </x:c>
      <x:c r="J83" s="219" t="n">
        <x:v>2650</x:v>
      </x:c>
      <x:c r="K83" s="219" t="n">
        <x:v>1030</x:v>
      </x:c>
      <x:c r="L83" s="219" t="n">
        <x:v>0</x:v>
      </x:c>
      <x:c r="M83" s="219" t="n">
        <x:v>0</x:v>
      </x:c>
      <x:c r="N83" s="219" t="n">
        <x:v>0</x:v>
      </x:c>
    </x:row>
    <x:row r="84">
      <x:c r="A84" s="219" t="n">
        <x:v>290000</x:v>
      </x:c>
      <x:c r="B84" s="219" t="n">
        <x:v>293000</x:v>
      </x:c>
      <x:c r="C84" s="225" t="n">
        <x:v>0</x:v>
      </x:c>
      <x:c r="D84" s="219" t="n">
        <x:v>290000</x:v>
      </x:c>
      <x:c r="E84" s="219" t="n">
        <x:v>50000</x:v>
      </x:c>
      <x:c r="F84" s="225" t="n">
        <x:v>0</x:v>
      </x:c>
      <x:c r="G84" s="219" t="n">
        <x:v>7610</x:v>
      </x:c>
      <x:c r="H84" s="219" t="n">
        <x:v>5990</x:v>
      </x:c>
      <x:c r="I84" s="219" t="n">
        <x:v>4380</x:v>
      </x:c>
      <x:c r="J84" s="219" t="n">
        <x:v>2760</x:v>
      </x:c>
      <x:c r="K84" s="219" t="n">
        <x:v>1140</x:v>
      </x:c>
      <x:c r="L84" s="219" t="n">
        <x:v>0</x:v>
      </x:c>
      <x:c r="M84" s="219" t="n">
        <x:v>0</x:v>
      </x:c>
      <x:c r="N84" s="219" t="n">
        <x:v>0</x:v>
      </x:c>
    </x:row>
    <x:row r="85">
      <x:c r="A85" s="219" t="n">
        <x:v>293000</x:v>
      </x:c>
      <x:c r="B85" s="219" t="n">
        <x:v>296000</x:v>
      </x:c>
      <x:c r="C85" s="225" t="n">
        <x:v>0</x:v>
      </x:c>
      <x:c r="D85" s="219" t="n">
        <x:v>293000</x:v>
      </x:c>
      <x:c r="E85" s="219" t="n">
        <x:v>51300</x:v>
      </x:c>
      <x:c r="F85" s="225" t="n">
        <x:v>0</x:v>
      </x:c>
      <x:c r="G85" s="219" t="n">
        <x:v>7720</x:v>
      </x:c>
      <x:c r="H85" s="219" t="n">
        <x:v>6100</x:v>
      </x:c>
      <x:c r="I85" s="219" t="n">
        <x:v>4480</x:v>
      </x:c>
      <x:c r="J85" s="219" t="n">
        <x:v>2870</x:v>
      </x:c>
      <x:c r="K85" s="219" t="n">
        <x:v>1250</x:v>
      </x:c>
      <x:c r="L85" s="219" t="n">
        <x:v>0</x:v>
      </x:c>
      <x:c r="M85" s="219" t="n">
        <x:v>0</x:v>
      </x:c>
      <x:c r="N85" s="219" t="n">
        <x:v>0</x:v>
      </x:c>
    </x:row>
    <x:row r="86">
      <x:c r="A86" s="219" t="n">
        <x:v>296000</x:v>
      </x:c>
      <x:c r="B86" s="219" t="n">
        <x:v>299000</x:v>
      </x:c>
      <x:c r="C86" s="225" t="n">
        <x:v>0</x:v>
      </x:c>
      <x:c r="D86" s="219" t="n">
        <x:v>296000</x:v>
      </x:c>
      <x:c r="E86" s="219" t="n">
        <x:v>52400</x:v>
      </x:c>
      <x:c r="F86" s="225" t="n">
        <x:v>0</x:v>
      </x:c>
      <x:c r="G86" s="219" t="n">
        <x:v>7820</x:v>
      </x:c>
      <x:c r="H86" s="219" t="n">
        <x:v>6210</x:v>
      </x:c>
      <x:c r="I86" s="219" t="n">
        <x:v>4590</x:v>
      </x:c>
      <x:c r="J86" s="219" t="n">
        <x:v>2970</x:v>
      </x:c>
      <x:c r="K86" s="219" t="n">
        <x:v>1360</x:v>
      </x:c>
      <x:c r="L86" s="219" t="n">
        <x:v>0</x:v>
      </x:c>
      <x:c r="M86" s="219" t="n">
        <x:v>0</x:v>
      </x:c>
      <x:c r="N86" s="219" t="n">
        <x:v>0</x:v>
      </x:c>
    </x:row>
    <x:row r="87">
      <x:c r="A87" s="219" t="n">
        <x:v>299000</x:v>
      </x:c>
      <x:c r="B87" s="219" t="n">
        <x:v>302000</x:v>
      </x:c>
      <x:c r="C87" s="225" t="n">
        <x:v>0</x:v>
      </x:c>
      <x:c r="D87" s="219" t="n">
        <x:v>299000</x:v>
      </x:c>
      <x:c r="E87" s="219" t="n">
        <x:v>53600</x:v>
      </x:c>
      <x:c r="F87" s="225" t="n">
        <x:v>0</x:v>
      </x:c>
      <x:c r="G87" s="219" t="n">
        <x:v>7930</x:v>
      </x:c>
      <x:c r="H87" s="219" t="n">
        <x:v>6320</x:v>
      </x:c>
      <x:c r="I87" s="219" t="n">
        <x:v>4700</x:v>
      </x:c>
      <x:c r="J87" s="219" t="n">
        <x:v>3080</x:v>
      </x:c>
      <x:c r="K87" s="219" t="n">
        <x:v>1470</x:v>
      </x:c>
      <x:c r="L87" s="219" t="n">
        <x:v>0</x:v>
      </x:c>
      <x:c r="M87" s="219" t="n">
        <x:v>0</x:v>
      </x:c>
      <x:c r="N87" s="219" t="n">
        <x:v>0</x:v>
      </x:c>
    </x:row>
    <x:row r="88">
      <x:c r="A88" s="219" t="n">
        <x:v>302000</x:v>
      </x:c>
      <x:c r="B88" s="219" t="n">
        <x:v>305000</x:v>
      </x:c>
      <x:c r="C88" s="225" t="n">
        <x:v>0</x:v>
      </x:c>
      <x:c r="D88" s="219" t="n">
        <x:v>302000</x:v>
      </x:c>
      <x:c r="E88" s="219" t="n">
        <x:v>54500</x:v>
      </x:c>
      <x:c r="F88" s="225" t="n">
        <x:v>0</x:v>
      </x:c>
      <x:c r="G88" s="219" t="n">
        <x:v>8060</x:v>
      </x:c>
      <x:c r="H88" s="219" t="n">
        <x:v>6440</x:v>
      </x:c>
      <x:c r="I88" s="219" t="n">
        <x:v>4820</x:v>
      </x:c>
      <x:c r="J88" s="219" t="n">
        <x:v>3210</x:v>
      </x:c>
      <x:c r="K88" s="219" t="n">
        <x:v>1590</x:v>
      </x:c>
      <x:c r="L88" s="219" t="n">
        <x:v>0</x:v>
      </x:c>
      <x:c r="M88" s="219" t="n">
        <x:v>0</x:v>
      </x:c>
      <x:c r="N88" s="219" t="n">
        <x:v>0</x:v>
      </x:c>
    </x:row>
    <x:row r="89">
      <x:c r="A89" s="219" t="n">
        <x:v>305000</x:v>
      </x:c>
      <x:c r="B89" s="219" t="n">
        <x:v>308000</x:v>
      </x:c>
      <x:c r="C89" s="225" t="n">
        <x:v>0</x:v>
      </x:c>
      <x:c r="D89" s="219" t="n">
        <x:v>305000</x:v>
      </x:c>
      <x:c r="E89" s="219" t="n">
        <x:v>55200</x:v>
      </x:c>
      <x:c r="F89" s="225" t="n">
        <x:v>0</x:v>
      </x:c>
      <x:c r="G89" s="219" t="n">
        <x:v>8180</x:v>
      </x:c>
      <x:c r="H89" s="219" t="n">
        <x:v>6570</x:v>
      </x:c>
      <x:c r="I89" s="219" t="n">
        <x:v>4940</x:v>
      </x:c>
      <x:c r="J89" s="219" t="n">
        <x:v>3330</x:v>
      </x:c>
      <x:c r="K89" s="219" t="n">
        <x:v>1720</x:v>
      </x:c>
      <x:c r="L89" s="219" t="n">
        <x:v>0</x:v>
      </x:c>
      <x:c r="M89" s="219" t="n">
        <x:v>0</x:v>
      </x:c>
      <x:c r="N89" s="219" t="n">
        <x:v>0</x:v>
      </x:c>
    </x:row>
    <x:row r="90">
      <x:c r="A90" s="219" t="n">
        <x:v>308000</x:v>
      </x:c>
      <x:c r="B90" s="219" t="n">
        <x:v>311000</x:v>
      </x:c>
      <x:c r="C90" s="225" t="n">
        <x:v>0</x:v>
      </x:c>
      <x:c r="D90" s="219" t="n">
        <x:v>308000</x:v>
      </x:c>
      <x:c r="E90" s="219" t="n">
        <x:v>56100</x:v>
      </x:c>
      <x:c r="F90" s="225" t="n">
        <x:v>0</x:v>
      </x:c>
      <x:c r="G90" s="219" t="n">
        <x:v>8300</x:v>
      </x:c>
      <x:c r="H90" s="219" t="n">
        <x:v>6690</x:v>
      </x:c>
      <x:c r="I90" s="219" t="n">
        <x:v>5060</x:v>
      </x:c>
      <x:c r="J90" s="219" t="n">
        <x:v>3450</x:v>
      </x:c>
      <x:c r="K90" s="219" t="n">
        <x:v>1840</x:v>
      </x:c>
      <x:c r="L90" s="219" t="n">
        <x:v>210</x:v>
      </x:c>
      <x:c r="M90" s="219" t="n">
        <x:v>0</x:v>
      </x:c>
      <x:c r="N90" s="219" t="n">
        <x:v>0</x:v>
      </x:c>
    </x:row>
    <x:row r="91">
      <x:c r="A91" s="219" t="n">
        <x:v>311000</x:v>
      </x:c>
      <x:c r="B91" s="219" t="n">
        <x:v>314000</x:v>
      </x:c>
      <x:c r="C91" s="225" t="n">
        <x:v>0</x:v>
      </x:c>
      <x:c r="D91" s="219" t="n">
        <x:v>311000</x:v>
      </x:c>
      <x:c r="E91" s="219" t="n">
        <x:v>56900</x:v>
      </x:c>
      <x:c r="F91" s="225" t="n">
        <x:v>0</x:v>
      </x:c>
      <x:c r="G91" s="219" t="n">
        <x:v>8550</x:v>
      </x:c>
      <x:c r="H91" s="219" t="n">
        <x:v>6810</x:v>
      </x:c>
      <x:c r="I91" s="219" t="n">
        <x:v>5190</x:v>
      </x:c>
      <x:c r="J91" s="219" t="n">
        <x:v>3570</x:v>
      </x:c>
      <x:c r="K91" s="219" t="n">
        <x:v>1960</x:v>
      </x:c>
      <x:c r="L91" s="219" t="n">
        <x:v>340</x:v>
      </x:c>
      <x:c r="M91" s="219" t="n">
        <x:v>0</x:v>
      </x:c>
      <x:c r="N91" s="219" t="n">
        <x:v>0</x:v>
      </x:c>
    </x:row>
    <x:row r="92">
      <x:c r="A92" s="219" t="n">
        <x:v>314000</x:v>
      </x:c>
      <x:c r="B92" s="219" t="n">
        <x:v>317000</x:v>
      </x:c>
      <x:c r="C92" s="225" t="n">
        <x:v>0</x:v>
      </x:c>
      <x:c r="D92" s="219" t="n">
        <x:v>314000</x:v>
      </x:c>
      <x:c r="E92" s="219" t="n">
        <x:v>57700</x:v>
      </x:c>
      <x:c r="F92" s="225" t="n">
        <x:v>0</x:v>
      </x:c>
      <x:c r="G92" s="219" t="n">
        <x:v>8790</x:v>
      </x:c>
      <x:c r="H92" s="219" t="n">
        <x:v>6930</x:v>
      </x:c>
      <x:c r="I92" s="219" t="n">
        <x:v>5310</x:v>
      </x:c>
      <x:c r="J92" s="219" t="n">
        <x:v>3700</x:v>
      </x:c>
      <x:c r="K92" s="219" t="n">
        <x:v>2080</x:v>
      </x:c>
      <x:c r="L92" s="219" t="n">
        <x:v>460</x:v>
      </x:c>
      <x:c r="M92" s="219" t="n">
        <x:v>0</x:v>
      </x:c>
      <x:c r="N92" s="219" t="n">
        <x:v>0</x:v>
      </x:c>
    </x:row>
    <x:row r="93">
      <x:c r="A93" s="219" t="n">
        <x:v>317000</x:v>
      </x:c>
      <x:c r="B93" s="219" t="n">
        <x:v>320000</x:v>
      </x:c>
      <x:c r="C93" s="225" t="n">
        <x:v>0</x:v>
      </x:c>
      <x:c r="D93" s="219" t="n">
        <x:v>317000</x:v>
      </x:c>
      <x:c r="E93" s="219" t="n">
        <x:v>58500</x:v>
      </x:c>
      <x:c r="F93" s="225" t="n">
        <x:v>0</x:v>
      </x:c>
      <x:c r="G93" s="219" t="n">
        <x:v>9040</x:v>
      </x:c>
      <x:c r="H93" s="219" t="n">
        <x:v>7060</x:v>
      </x:c>
      <x:c r="I93" s="219" t="n">
        <x:v>5430</x:v>
      </x:c>
      <x:c r="J93" s="219" t="n">
        <x:v>3820</x:v>
      </x:c>
      <x:c r="K93" s="219" t="n">
        <x:v>2210</x:v>
      </x:c>
      <x:c r="L93" s="219" t="n">
        <x:v>580</x:v>
      </x:c>
      <x:c r="M93" s="219" t="n">
        <x:v>0</x:v>
      </x:c>
      <x:c r="N93" s="219" t="n">
        <x:v>0</x:v>
      </x:c>
    </x:row>
    <x:row r="94">
      <x:c r="A94" s="219" t="n">
        <x:v>320000</x:v>
      </x:c>
      <x:c r="B94" s="219" t="n">
        <x:v>323000</x:v>
      </x:c>
      <x:c r="C94" s="225" t="n">
        <x:v>0</x:v>
      </x:c>
      <x:c r="D94" s="219" t="n">
        <x:v>320000</x:v>
      </x:c>
      <x:c r="E94" s="219" t="n">
        <x:v>59500</x:v>
      </x:c>
      <x:c r="F94" s="225" t="n">
        <x:v>0</x:v>
      </x:c>
      <x:c r="G94" s="219" t="n">
        <x:v>9280</x:v>
      </x:c>
      <x:c r="H94" s="219" t="n">
        <x:v>7180</x:v>
      </x:c>
      <x:c r="I94" s="219" t="n">
        <x:v>5550</x:v>
      </x:c>
      <x:c r="J94" s="219" t="n">
        <x:v>3940</x:v>
      </x:c>
      <x:c r="K94" s="219" t="n">
        <x:v>2330</x:v>
      </x:c>
      <x:c r="L94" s="219" t="n">
        <x:v>700</x:v>
      </x:c>
      <x:c r="M94" s="219" t="n">
        <x:v>0</x:v>
      </x:c>
      <x:c r="N94" s="219" t="n">
        <x:v>0</x:v>
      </x:c>
    </x:row>
    <x:row r="95">
      <x:c r="A95" s="219" t="n">
        <x:v>323000</x:v>
      </x:c>
      <x:c r="B95" s="219" t="n">
        <x:v>326000</x:v>
      </x:c>
      <x:c r="C95" s="225" t="n">
        <x:v>0</x:v>
      </x:c>
      <x:c r="D95" s="219" t="n">
        <x:v>323000</x:v>
      </x:c>
      <x:c r="E95" s="219" t="n">
        <x:v>60500</x:v>
      </x:c>
      <x:c r="F95" s="225" t="n">
        <x:v>0</x:v>
      </x:c>
      <x:c r="G95" s="219" t="n">
        <x:v>9530</x:v>
      </x:c>
      <x:c r="H95" s="219" t="n">
        <x:v>7300</x:v>
      </x:c>
      <x:c r="I95" s="219" t="n">
        <x:v>5680</x:v>
      </x:c>
      <x:c r="J95" s="219" t="n">
        <x:v>4060</x:v>
      </x:c>
      <x:c r="K95" s="219" t="n">
        <x:v>2450</x:v>
      </x:c>
      <x:c r="L95" s="219" t="n">
        <x:v>830</x:v>
      </x:c>
      <x:c r="M95" s="219" t="n">
        <x:v>0</x:v>
      </x:c>
      <x:c r="N95" s="219" t="n">
        <x:v>0</x:v>
      </x:c>
    </x:row>
    <x:row r="96">
      <x:c r="A96" s="219" t="n">
        <x:v>326000</x:v>
      </x:c>
      <x:c r="B96" s="219" t="n">
        <x:v>329000</x:v>
      </x:c>
      <x:c r="C96" s="225" t="n">
        <x:v>0</x:v>
      </x:c>
      <x:c r="D96" s="219" t="n">
        <x:v>326000</x:v>
      </x:c>
      <x:c r="E96" s="219" t="n">
        <x:v>61600</x:v>
      </x:c>
      <x:c r="F96" s="225" t="n">
        <x:v>0</x:v>
      </x:c>
      <x:c r="G96" s="219" t="n">
        <x:v>9770</x:v>
      </x:c>
      <x:c r="H96" s="219" t="n">
        <x:v>7420</x:v>
      </x:c>
      <x:c r="I96" s="219" t="n">
        <x:v>5800</x:v>
      </x:c>
      <x:c r="J96" s="219" t="n">
        <x:v>4190</x:v>
      </x:c>
      <x:c r="K96" s="219" t="n">
        <x:v>2570</x:v>
      </x:c>
      <x:c r="L96" s="219" t="n">
        <x:v>950</x:v>
      </x:c>
      <x:c r="M96" s="219" t="n">
        <x:v>0</x:v>
      </x:c>
      <x:c r="N96" s="219" t="n">
        <x:v>0</x:v>
      </x:c>
    </x:row>
    <x:row r="97">
      <x:c r="A97" s="219" t="n">
        <x:v>329000</x:v>
      </x:c>
      <x:c r="B97" s="219" t="n">
        <x:v>332000</x:v>
      </x:c>
      <x:c r="C97" s="225" t="n">
        <x:v>0</x:v>
      </x:c>
      <x:c r="D97" s="219" t="n">
        <x:v>329000</x:v>
      </x:c>
      <x:c r="E97" s="219" t="n">
        <x:v>62600</x:v>
      </x:c>
      <x:c r="F97" s="225" t="n">
        <x:v>0</x:v>
      </x:c>
      <x:c r="G97" s="219" t="n">
        <x:v>10020</x:v>
      </x:c>
      <x:c r="H97" s="219" t="n">
        <x:v>7550</x:v>
      </x:c>
      <x:c r="I97" s="219" t="n">
        <x:v>5920</x:v>
      </x:c>
      <x:c r="J97" s="219" t="n">
        <x:v>4310</x:v>
      </x:c>
      <x:c r="K97" s="219" t="n">
        <x:v>2700</x:v>
      </x:c>
      <x:c r="L97" s="219" t="n">
        <x:v>1070</x:v>
      </x:c>
      <x:c r="M97" s="219" t="n">
        <x:v>0</x:v>
      </x:c>
      <x:c r="N97" s="219" t="n">
        <x:v>0</x:v>
      </x:c>
    </x:row>
    <x:row r="98">
      <x:c r="A98" s="219" t="n">
        <x:v>332000</x:v>
      </x:c>
      <x:c r="B98" s="219" t="n">
        <x:v>335000</x:v>
      </x:c>
      <x:c r="C98" s="225" t="n">
        <x:v>0</x:v>
      </x:c>
      <x:c r="D98" s="219" t="n">
        <x:v>332000</x:v>
      </x:c>
      <x:c r="E98" s="219" t="n">
        <x:v>63700</x:v>
      </x:c>
      <x:c r="F98" s="225" t="n">
        <x:v>0</x:v>
      </x:c>
      <x:c r="G98" s="219" t="n">
        <x:v>10260</x:v>
      </x:c>
      <x:c r="H98" s="219" t="n">
        <x:v>7670</x:v>
      </x:c>
      <x:c r="I98" s="219" t="n">
        <x:v>6040</x:v>
      </x:c>
      <x:c r="J98" s="219" t="n">
        <x:v>4430</x:v>
      </x:c>
      <x:c r="K98" s="219" t="n">
        <x:v>2820</x:v>
      </x:c>
      <x:c r="L98" s="219" t="n">
        <x:v>1190</x:v>
      </x:c>
      <x:c r="M98" s="219" t="n">
        <x:v>0</x:v>
      </x:c>
      <x:c r="N98" s="219" t="n">
        <x:v>0</x:v>
      </x:c>
    </x:row>
    <x:row r="99">
      <x:c r="A99" s="219" t="n">
        <x:v>335000</x:v>
      </x:c>
      <x:c r="B99" s="219" t="n">
        <x:v>338000</x:v>
      </x:c>
      <x:c r="C99" s="225" t="n">
        <x:v>0</x:v>
      </x:c>
      <x:c r="D99" s="219" t="n">
        <x:v>335000</x:v>
      </x:c>
      <x:c r="E99" s="219" t="n">
        <x:v>64700</x:v>
      </x:c>
      <x:c r="F99" s="225" t="n">
        <x:v>0</x:v>
      </x:c>
      <x:c r="G99" s="219" t="n">
        <x:v>10510</x:v>
      </x:c>
      <x:c r="H99" s="219" t="n">
        <x:v>7790</x:v>
      </x:c>
      <x:c r="I99" s="219" t="n">
        <x:v>6170</x:v>
      </x:c>
      <x:c r="J99" s="219" t="n">
        <x:v>4550</x:v>
      </x:c>
      <x:c r="K99" s="219" t="n">
        <x:v>2940</x:v>
      </x:c>
      <x:c r="L99" s="219" t="n">
        <x:v>1320</x:v>
      </x:c>
      <x:c r="M99" s="219" t="n">
        <x:v>0</x:v>
      </x:c>
      <x:c r="N99" s="219" t="n">
        <x:v>0</x:v>
      </x:c>
    </x:row>
    <x:row r="100">
      <x:c r="A100" s="219" t="n">
        <x:v>338000</x:v>
      </x:c>
      <x:c r="B100" s="219" t="n">
        <x:v>341000</x:v>
      </x:c>
      <x:c r="C100" s="225" t="n">
        <x:v>0</x:v>
      </x:c>
      <x:c r="D100" s="219" t="n">
        <x:v>338000</x:v>
      </x:c>
      <x:c r="E100" s="219" t="n">
        <x:v>65800</x:v>
      </x:c>
      <x:c r="F100" s="225" t="n">
        <x:v>0</x:v>
      </x:c>
      <x:c r="G100" s="219" t="n">
        <x:v>10750</x:v>
      </x:c>
      <x:c r="H100" s="219" t="n">
        <x:v>7910</x:v>
      </x:c>
      <x:c r="I100" s="219" t="n">
        <x:v>6290</x:v>
      </x:c>
      <x:c r="J100" s="219" t="n">
        <x:v>4680</x:v>
      </x:c>
      <x:c r="K100" s="219" t="n">
        <x:v>3060</x:v>
      </x:c>
      <x:c r="L100" s="219" t="n">
        <x:v>1440</x:v>
      </x:c>
      <x:c r="M100" s="219" t="n">
        <x:v>0</x:v>
      </x:c>
      <x:c r="N100" s="219" t="n">
        <x:v>0</x:v>
      </x:c>
    </x:row>
    <x:row r="101">
      <x:c r="A101" s="219" t="n">
        <x:v>341000</x:v>
      </x:c>
      <x:c r="B101" s="219" t="n">
        <x:v>344000</x:v>
      </x:c>
      <x:c r="C101" s="225" t="n">
        <x:v>0</x:v>
      </x:c>
      <x:c r="D101" s="219" t="n">
        <x:v>341000</x:v>
      </x:c>
      <x:c r="E101" s="219" t="n">
        <x:v>66800</x:v>
      </x:c>
      <x:c r="F101" s="225" t="n">
        <x:v>0</x:v>
      </x:c>
      <x:c r="G101" s="219" t="n">
        <x:v>11000</x:v>
      </x:c>
      <x:c r="H101" s="219" t="n">
        <x:v>8040</x:v>
      </x:c>
      <x:c r="I101" s="219" t="n">
        <x:v>6410</x:v>
      </x:c>
      <x:c r="J101" s="219" t="n">
        <x:v>4800</x:v>
      </x:c>
      <x:c r="K101" s="219" t="n">
        <x:v>3190</x:v>
      </x:c>
      <x:c r="L101" s="219" t="n">
        <x:v>1560</x:v>
      </x:c>
      <x:c r="M101" s="219" t="n">
        <x:v>0</x:v>
      </x:c>
      <x:c r="N101" s="219" t="n">
        <x:v>0</x:v>
      </x:c>
    </x:row>
    <x:row r="102">
      <x:c r="A102" s="219" t="n">
        <x:v>344000</x:v>
      </x:c>
      <x:c r="B102" s="219" t="n">
        <x:v>347000</x:v>
      </x:c>
      <x:c r="C102" s="225" t="n">
        <x:v>0</x:v>
      </x:c>
      <x:c r="D102" s="219" t="n">
        <x:v>344000</x:v>
      </x:c>
      <x:c r="E102" s="219" t="n">
        <x:v>67800</x:v>
      </x:c>
      <x:c r="F102" s="225" t="n">
        <x:v>0</x:v>
      </x:c>
      <x:c r="G102" s="219" t="n">
        <x:v>11240</x:v>
      </x:c>
      <x:c r="H102" s="219" t="n">
        <x:v>8160</x:v>
      </x:c>
      <x:c r="I102" s="219" t="n">
        <x:v>6530</x:v>
      </x:c>
      <x:c r="J102" s="219" t="n">
        <x:v>4920</x:v>
      </x:c>
      <x:c r="K102" s="219" t="n">
        <x:v>3310</x:v>
      </x:c>
      <x:c r="L102" s="219" t="n">
        <x:v>1680</x:v>
      </x:c>
      <x:c r="M102" s="219" t="n">
        <x:v>0</x:v>
      </x:c>
      <x:c r="N102" s="219" t="n">
        <x:v>0</x:v>
      </x:c>
    </x:row>
    <x:row r="103">
      <x:c r="A103" s="219" t="n">
        <x:v>347000</x:v>
      </x:c>
      <x:c r="B103" s="219" t="n">
        <x:v>350000</x:v>
      </x:c>
      <x:c r="C103" s="225" t="n">
        <x:v>0</x:v>
      </x:c>
      <x:c r="D103" s="219" t="n">
        <x:v>347000</x:v>
      </x:c>
      <x:c r="E103" s="219" t="n">
        <x:v>68800</x:v>
      </x:c>
      <x:c r="F103" s="225" t="n">
        <x:v>0</x:v>
      </x:c>
      <x:c r="G103" s="219" t="n">
        <x:v>11490</x:v>
      </x:c>
      <x:c r="H103" s="219" t="n">
        <x:v>8280</x:v>
      </x:c>
      <x:c r="I103" s="219" t="n">
        <x:v>6660</x:v>
      </x:c>
      <x:c r="J103" s="219" t="n">
        <x:v>5040</x:v>
      </x:c>
      <x:c r="K103" s="219" t="n">
        <x:v>3430</x:v>
      </x:c>
      <x:c r="L103" s="219" t="n">
        <x:v>1810</x:v>
      </x:c>
      <x:c r="M103" s="219" t="n">
        <x:v>190</x:v>
      </x:c>
      <x:c r="N103" s="219" t="n">
        <x:v>0</x:v>
      </x:c>
    </x:row>
    <x:row r="104">
      <x:c r="A104" s="219" t="n">
        <x:v>350000</x:v>
      </x:c>
      <x:c r="B104" s="219" t="n">
        <x:v>353000</x:v>
      </x:c>
      <x:c r="C104" s="225" t="n">
        <x:v>0</x:v>
      </x:c>
      <x:c r="D104" s="219" t="n">
        <x:v>350000</x:v>
      </x:c>
      <x:c r="E104" s="219" t="n">
        <x:v>69800</x:v>
      </x:c>
      <x:c r="F104" s="225" t="n">
        <x:v>0</x:v>
      </x:c>
      <x:c r="G104" s="219" t="n">
        <x:v>11730</x:v>
      </x:c>
      <x:c r="H104" s="219" t="n">
        <x:v>8500</x:v>
      </x:c>
      <x:c r="I104" s="219" t="n">
        <x:v>6780</x:v>
      </x:c>
      <x:c r="J104" s="219" t="n">
        <x:v>5170</x:v>
      </x:c>
      <x:c r="K104" s="219" t="n">
        <x:v>3550</x:v>
      </x:c>
      <x:c r="L104" s="219" t="n">
        <x:v>1930</x:v>
      </x:c>
      <x:c r="M104" s="219" t="n">
        <x:v>320</x:v>
      </x:c>
      <x:c r="N104" s="219" t="n">
        <x:v>0</x:v>
      </x:c>
    </x:row>
    <x:row r="105">
      <x:c r="A105" s="219" t="n">
        <x:v>353000</x:v>
      </x:c>
      <x:c r="B105" s="219" t="n">
        <x:v>356000</x:v>
      </x:c>
      <x:c r="C105" s="225" t="n">
        <x:v>0</x:v>
      </x:c>
      <x:c r="D105" s="219" t="n">
        <x:v>353000</x:v>
      </x:c>
      <x:c r="E105" s="219" t="n">
        <x:v>70900</x:v>
      </x:c>
      <x:c r="F105" s="225" t="n">
        <x:v>0</x:v>
      </x:c>
      <x:c r="G105" s="219" t="n">
        <x:v>11980</x:v>
      </x:c>
      <x:c r="H105" s="219" t="n">
        <x:v>8750</x:v>
      </x:c>
      <x:c r="I105" s="219" t="n">
        <x:v>6900</x:v>
      </x:c>
      <x:c r="J105" s="219" t="n">
        <x:v>5290</x:v>
      </x:c>
      <x:c r="K105" s="219" t="n">
        <x:v>3680</x:v>
      </x:c>
      <x:c r="L105" s="219" t="n">
        <x:v>2050</x:v>
      </x:c>
      <x:c r="M105" s="219" t="n">
        <x:v>440</x:v>
      </x:c>
      <x:c r="N105" s="219" t="n">
        <x:v>0</x:v>
      </x:c>
    </x:row>
    <x:row r="106">
      <x:c r="A106" s="219" t="n">
        <x:v>356000</x:v>
      </x:c>
      <x:c r="B106" s="219" t="n">
        <x:v>359000</x:v>
      </x:c>
      <x:c r="C106" s="225" t="n">
        <x:v>0</x:v>
      </x:c>
      <x:c r="D106" s="219" t="n">
        <x:v>356000</x:v>
      </x:c>
      <x:c r="E106" s="219" t="n">
        <x:v>71900</x:v>
      </x:c>
      <x:c r="F106" s="225" t="n">
        <x:v>0</x:v>
      </x:c>
      <x:c r="G106" s="219" t="n">
        <x:v>12220</x:v>
      </x:c>
      <x:c r="H106" s="219" t="n">
        <x:v>9000</x:v>
      </x:c>
      <x:c r="I106" s="219" t="n">
        <x:v>7020</x:v>
      </x:c>
      <x:c r="J106" s="219" t="n">
        <x:v>5410</x:v>
      </x:c>
      <x:c r="K106" s="219" t="n">
        <x:v>3800</x:v>
      </x:c>
      <x:c r="L106" s="219" t="n">
        <x:v>2170</x:v>
      </x:c>
      <x:c r="M106" s="219" t="n">
        <x:v>560</x:v>
      </x:c>
      <x:c r="N106" s="219" t="n">
        <x:v>0</x:v>
      </x:c>
    </x:row>
    <x:row r="107">
      <x:c r="A107" s="219" t="n">
        <x:v>359000</x:v>
      </x:c>
      <x:c r="B107" s="219" t="n">
        <x:v>362000</x:v>
      </x:c>
      <x:c r="C107" s="225" t="n">
        <x:v>0</x:v>
      </x:c>
      <x:c r="D107" s="219" t="n">
        <x:v>359000</x:v>
      </x:c>
      <x:c r="E107" s="219" t="n">
        <x:v>72900</x:v>
      </x:c>
      <x:c r="F107" s="225" t="n">
        <x:v>0</x:v>
      </x:c>
      <x:c r="G107" s="219" t="n">
        <x:v>12470</x:v>
      </x:c>
      <x:c r="H107" s="219" t="n">
        <x:v>9240</x:v>
      </x:c>
      <x:c r="I107" s="219" t="n">
        <x:v>7150</x:v>
      </x:c>
      <x:c r="J107" s="219" t="n">
        <x:v>5530</x:v>
      </x:c>
      <x:c r="K107" s="219" t="n">
        <x:v>3920</x:v>
      </x:c>
      <x:c r="L107" s="219" t="n">
        <x:v>2300</x:v>
      </x:c>
      <x:c r="M107" s="219" t="n">
        <x:v>680</x:v>
      </x:c>
      <x:c r="N107" s="219" t="n">
        <x:v>0</x:v>
      </x:c>
    </x:row>
    <x:row r="108">
      <x:c r="A108" s="219" t="n">
        <x:v>362000</x:v>
      </x:c>
      <x:c r="B108" s="219" t="n">
        <x:v>365000</x:v>
      </x:c>
      <x:c r="C108" s="225" t="n">
        <x:v>0</x:v>
      </x:c>
      <x:c r="D108" s="219" t="n">
        <x:v>362000</x:v>
      </x:c>
      <x:c r="E108" s="219" t="n">
        <x:v>73900</x:v>
      </x:c>
      <x:c r="F108" s="225" t="n">
        <x:v>0</x:v>
      </x:c>
      <x:c r="G108" s="219" t="n">
        <x:v>12710</x:v>
      </x:c>
      <x:c r="H108" s="219" t="n">
        <x:v>9490</x:v>
      </x:c>
      <x:c r="I108" s="219" t="n">
        <x:v>7270</x:v>
      </x:c>
      <x:c r="J108" s="219" t="n">
        <x:v>5660</x:v>
      </x:c>
      <x:c r="K108" s="219" t="n">
        <x:v>4040</x:v>
      </x:c>
      <x:c r="L108" s="219" t="n">
        <x:v>2420</x:v>
      </x:c>
      <x:c r="M108" s="219" t="n">
        <x:v>810</x:v>
      </x:c>
      <x:c r="N108" s="219" t="n">
        <x:v>0</x:v>
      </x:c>
    </x:row>
    <x:row r="109">
      <x:c r="A109" s="219" t="n">
        <x:v>365000</x:v>
      </x:c>
      <x:c r="B109" s="219" t="n">
        <x:v>368000</x:v>
      </x:c>
      <x:c r="C109" s="225" t="n">
        <x:v>0</x:v>
      </x:c>
      <x:c r="D109" s="219" t="n">
        <x:v>365000</x:v>
      </x:c>
      <x:c r="E109" s="219" t="n">
        <x:v>74900</x:v>
      </x:c>
      <x:c r="F109" s="225" t="n">
        <x:v>0</x:v>
      </x:c>
      <x:c r="G109" s="219" t="n">
        <x:v>12960</x:v>
      </x:c>
      <x:c r="H109" s="219" t="n">
        <x:v>9730</x:v>
      </x:c>
      <x:c r="I109" s="219" t="n">
        <x:v>7390</x:v>
      </x:c>
      <x:c r="J109" s="219" t="n">
        <x:v>5780</x:v>
      </x:c>
      <x:c r="K109" s="219" t="n">
        <x:v>4170</x:v>
      </x:c>
      <x:c r="L109" s="219" t="n">
        <x:v>2540</x:v>
      </x:c>
      <x:c r="M109" s="219" t="n">
        <x:v>930</x:v>
      </x:c>
      <x:c r="N109" s="219" t="n">
        <x:v>0</x:v>
      </x:c>
    </x:row>
    <x:row r="110">
      <x:c r="A110" s="219" t="n">
        <x:v>368000</x:v>
      </x:c>
      <x:c r="B110" s="219" t="n">
        <x:v>371000</x:v>
      </x:c>
      <x:c r="C110" s="225" t="n">
        <x:v>0</x:v>
      </x:c>
      <x:c r="D110" s="219" t="n">
        <x:v>368000</x:v>
      </x:c>
      <x:c r="E110" s="219" t="n">
        <x:v>76000</x:v>
      </x:c>
      <x:c r="F110" s="225" t="n">
        <x:v>0</x:v>
      </x:c>
      <x:c r="G110" s="219" t="n">
        <x:v>13200</x:v>
      </x:c>
      <x:c r="H110" s="219" t="n">
        <x:v>9980</x:v>
      </x:c>
      <x:c r="I110" s="219" t="n">
        <x:v>7510</x:v>
      </x:c>
      <x:c r="J110" s="219" t="n">
        <x:v>5900</x:v>
      </x:c>
      <x:c r="K110" s="219" t="n">
        <x:v>4290</x:v>
      </x:c>
      <x:c r="L110" s="219" t="n">
        <x:v>2660</x:v>
      </x:c>
      <x:c r="M110" s="219" t="n">
        <x:v>1050</x:v>
      </x:c>
      <x:c r="N110" s="219" t="n">
        <x:v>0</x:v>
      </x:c>
    </x:row>
    <x:row r="111">
      <x:c r="A111" s="219" t="n">
        <x:v>371000</x:v>
      </x:c>
      <x:c r="B111" s="219" t="n">
        <x:v>374000</x:v>
      </x:c>
      <x:c r="C111" s="225" t="n">
        <x:v>0</x:v>
      </x:c>
      <x:c r="D111" s="219" t="n">
        <x:v>371000</x:v>
      </x:c>
      <x:c r="E111" s="219" t="n">
        <x:v>76900</x:v>
      </x:c>
      <x:c r="F111" s="225" t="n">
        <x:v>0</x:v>
      </x:c>
      <x:c r="G111" s="219" t="n">
        <x:v>13450</x:v>
      </x:c>
      <x:c r="H111" s="219" t="n">
        <x:v>10220</x:v>
      </x:c>
      <x:c r="I111" s="219" t="n">
        <x:v>7640</x:v>
      </x:c>
      <x:c r="J111" s="219" t="n">
        <x:v>6020</x:v>
      </x:c>
      <x:c r="K111" s="219" t="n">
        <x:v>4410</x:v>
      </x:c>
      <x:c r="L111" s="219" t="n">
        <x:v>2790</x:v>
      </x:c>
      <x:c r="M111" s="219" t="n">
        <x:v>1170</x:v>
      </x:c>
      <x:c r="N111" s="219" t="n">
        <x:v>0</x:v>
      </x:c>
    </x:row>
    <x:row r="112">
      <x:c r="A112" s="219" t="n">
        <x:v>374000</x:v>
      </x:c>
      <x:c r="B112" s="219" t="n">
        <x:v>377000</x:v>
      </x:c>
      <x:c r="C112" s="225" t="n">
        <x:v>0</x:v>
      </x:c>
      <x:c r="D112" s="219" t="n">
        <x:v>374000</x:v>
      </x:c>
      <x:c r="E112" s="219" t="n">
        <x:v>77800</x:v>
      </x:c>
      <x:c r="F112" s="225" t="n">
        <x:v>0</x:v>
      </x:c>
      <x:c r="G112" s="219" t="n">
        <x:v>13690</x:v>
      </x:c>
      <x:c r="H112" s="219" t="n">
        <x:v>10470</x:v>
      </x:c>
      <x:c r="I112" s="219" t="n">
        <x:v>7760</x:v>
      </x:c>
      <x:c r="J112" s="219" t="n">
        <x:v>6150</x:v>
      </x:c>
      <x:c r="K112" s="219" t="n">
        <x:v>4530</x:v>
      </x:c>
      <x:c r="L112" s="219" t="n">
        <x:v>2910</x:v>
      </x:c>
      <x:c r="M112" s="219" t="n">
        <x:v>1300</x:v>
      </x:c>
      <x:c r="N112" s="219" t="n">
        <x:v>0</x:v>
      </x:c>
    </x:row>
    <x:row r="113">
      <x:c r="A113" s="219" t="n">
        <x:v>377000</x:v>
      </x:c>
      <x:c r="B113" s="219" t="n">
        <x:v>380000</x:v>
      </x:c>
      <x:c r="C113" s="225" t="n">
        <x:v>0</x:v>
      </x:c>
      <x:c r="D113" s="219" t="n">
        <x:v>377000</x:v>
      </x:c>
      <x:c r="E113" s="219" t="n">
        <x:v>78700</x:v>
      </x:c>
      <x:c r="F113" s="225" t="n">
        <x:v>0</x:v>
      </x:c>
      <x:c r="G113" s="219" t="n">
        <x:v>13940</x:v>
      </x:c>
      <x:c r="H113" s="219" t="n">
        <x:v>10710</x:v>
      </x:c>
      <x:c r="I113" s="219" t="n">
        <x:v>7880</x:v>
      </x:c>
      <x:c r="J113" s="219" t="n">
        <x:v>6270</x:v>
      </x:c>
      <x:c r="K113" s="219" t="n">
        <x:v>4660</x:v>
      </x:c>
      <x:c r="L113" s="219" t="n">
        <x:v>3030</x:v>
      </x:c>
      <x:c r="M113" s="219" t="n">
        <x:v>1420</x:v>
      </x:c>
      <x:c r="N113" s="219" t="n">
        <x:v>0</x:v>
      </x:c>
    </x:row>
    <x:row r="114">
      <x:c r="A114" s="219" t="n">
        <x:v>380000</x:v>
      </x:c>
      <x:c r="B114" s="219" t="n">
        <x:v>383000</x:v>
      </x:c>
      <x:c r="C114" s="225" t="n">
        <x:v>0</x:v>
      </x:c>
      <x:c r="D114" s="219" t="n">
        <x:v>380000</x:v>
      </x:c>
      <x:c r="E114" s="219" t="n">
        <x:v>79600</x:v>
      </x:c>
      <x:c r="F114" s="225" t="n">
        <x:v>0</x:v>
      </x:c>
      <x:c r="G114" s="219" t="n">
        <x:v>14180</x:v>
      </x:c>
      <x:c r="H114" s="219" t="n">
        <x:v>10960</x:v>
      </x:c>
      <x:c r="I114" s="219" t="n">
        <x:v>8000</x:v>
      </x:c>
      <x:c r="J114" s="219" t="n">
        <x:v>6390</x:v>
      </x:c>
      <x:c r="K114" s="219" t="n">
        <x:v>4780</x:v>
      </x:c>
      <x:c r="L114" s="219" t="n">
        <x:v>3150</x:v>
      </x:c>
      <x:c r="M114" s="219" t="n">
        <x:v>1540</x:v>
      </x:c>
      <x:c r="N114" s="219" t="n">
        <x:v>0</x:v>
      </x:c>
    </x:row>
    <x:row r="115">
      <x:c r="A115" s="219" t="n">
        <x:v>383000</x:v>
      </x:c>
      <x:c r="B115" s="219" t="n">
        <x:v>386000</x:v>
      </x:c>
      <x:c r="C115" s="225" t="n">
        <x:v>0</x:v>
      </x:c>
      <x:c r="D115" s="219" t="n">
        <x:v>383000</x:v>
      </x:c>
      <x:c r="E115" s="219" t="n">
        <x:v>80600</x:v>
      </x:c>
      <x:c r="F115" s="225" t="n">
        <x:v>0</x:v>
      </x:c>
      <x:c r="G115" s="219" t="n">
        <x:v>14430</x:v>
      </x:c>
      <x:c r="H115" s="219" t="n">
        <x:v>11200</x:v>
      </x:c>
      <x:c r="I115" s="219" t="n">
        <x:v>8130</x:v>
      </x:c>
      <x:c r="J115" s="219" t="n">
        <x:v>6510</x:v>
      </x:c>
      <x:c r="K115" s="219" t="n">
        <x:v>4900</x:v>
      </x:c>
      <x:c r="L115" s="219" t="n">
        <x:v>3280</x:v>
      </x:c>
      <x:c r="M115" s="219" t="n">
        <x:v>1660</x:v>
      </x:c>
      <x:c r="N115" s="219" t="n">
        <x:v>0</x:v>
      </x:c>
    </x:row>
    <x:row r="116">
      <x:c r="A116" s="219" t="n">
        <x:v>386000</x:v>
      </x:c>
      <x:c r="B116" s="219" t="n">
        <x:v>389000</x:v>
      </x:c>
      <x:c r="C116" s="225" t="n">
        <x:v>0</x:v>
      </x:c>
      <x:c r="D116" s="219" t="n">
        <x:v>386000</x:v>
      </x:c>
      <x:c r="E116" s="219" t="n">
        <x:v>82000</x:v>
      </x:c>
      <x:c r="F116" s="225" t="n">
        <x:v>0</x:v>
      </x:c>
      <x:c r="G116" s="219" t="n">
        <x:v>14670</x:v>
      </x:c>
      <x:c r="H116" s="219" t="n">
        <x:v>11450</x:v>
      </x:c>
      <x:c r="I116" s="219" t="n">
        <x:v>8250</x:v>
      </x:c>
      <x:c r="J116" s="219" t="n">
        <x:v>6640</x:v>
      </x:c>
      <x:c r="K116" s="219" t="n">
        <x:v>5020</x:v>
      </x:c>
      <x:c r="L116" s="219" t="n">
        <x:v>3400</x:v>
      </x:c>
      <x:c r="M116" s="219" t="n">
        <x:v>1790</x:v>
      </x:c>
      <x:c r="N116" s="219" t="n">
        <x:v>170</x:v>
      </x:c>
    </x:row>
    <x:row r="117">
      <x:c r="A117" s="219" t="n">
        <x:v>389000</x:v>
      </x:c>
      <x:c r="B117" s="219" t="n">
        <x:v>392000</x:v>
      </x:c>
      <x:c r="C117" s="225" t="n">
        <x:v>0</x:v>
      </x:c>
      <x:c r="D117" s="219" t="n">
        <x:v>389000</x:v>
      </x:c>
      <x:c r="E117" s="219" t="n">
        <x:v>83600</x:v>
      </x:c>
      <x:c r="F117" s="225" t="n">
        <x:v>0</x:v>
      </x:c>
      <x:c r="G117" s="219" t="n">
        <x:v>14920</x:v>
      </x:c>
      <x:c r="H117" s="219" t="n">
        <x:v>11690</x:v>
      </x:c>
      <x:c r="I117" s="219" t="n">
        <x:v>8450</x:v>
      </x:c>
      <x:c r="J117" s="219" t="n">
        <x:v>6760</x:v>
      </x:c>
      <x:c r="K117" s="219" t="n">
        <x:v>5150</x:v>
      </x:c>
      <x:c r="L117" s="219" t="n">
        <x:v>3520</x:v>
      </x:c>
      <x:c r="M117" s="219" t="n">
        <x:v>1910</x:v>
      </x:c>
      <x:c r="N117" s="219" t="n">
        <x:v>300</x:v>
      </x:c>
    </x:row>
    <x:row r="118">
      <x:c r="A118" s="219" t="n">
        <x:v>392000</x:v>
      </x:c>
      <x:c r="B118" s="219" t="n">
        <x:v>395000</x:v>
      </x:c>
      <x:c r="C118" s="225" t="n">
        <x:v>0</x:v>
      </x:c>
      <x:c r="D118" s="219" t="n">
        <x:v>392000</x:v>
      </x:c>
      <x:c r="E118" s="219" t="n">
        <x:v>85400</x:v>
      </x:c>
      <x:c r="F118" s="225" t="n">
        <x:v>0</x:v>
      </x:c>
      <x:c r="G118" s="219" t="n">
        <x:v>15160</x:v>
      </x:c>
      <x:c r="H118" s="219" t="n">
        <x:v>11940</x:v>
      </x:c>
      <x:c r="I118" s="219" t="n">
        <x:v>8700</x:v>
      </x:c>
      <x:c r="J118" s="219" t="n">
        <x:v>6880</x:v>
      </x:c>
      <x:c r="K118" s="219" t="n">
        <x:v>5270</x:v>
      </x:c>
      <x:c r="L118" s="219" t="n">
        <x:v>3640</x:v>
      </x:c>
      <x:c r="M118" s="219" t="n">
        <x:v>2030</x:v>
      </x:c>
      <x:c r="N118" s="219" t="n">
        <x:v>420</x:v>
      </x:c>
    </x:row>
    <x:row r="119">
      <x:c r="A119" s="219" t="n">
        <x:v>395000</x:v>
      </x:c>
      <x:c r="B119" s="219" t="n">
        <x:v>398000</x:v>
      </x:c>
      <x:c r="C119" s="225" t="n">
        <x:v>0</x:v>
      </x:c>
      <x:c r="D119" s="219" t="n">
        <x:v>395000</x:v>
      </x:c>
      <x:c r="E119" s="219" t="n">
        <x:v>87100</x:v>
      </x:c>
      <x:c r="F119" s="225" t="n">
        <x:v>0</x:v>
      </x:c>
      <x:c r="G119" s="219" t="n">
        <x:v>15410</x:v>
      </x:c>
      <x:c r="H119" s="219" t="n">
        <x:v>12180</x:v>
      </x:c>
      <x:c r="I119" s="219" t="n">
        <x:v>8940</x:v>
      </x:c>
      <x:c r="J119" s="219" t="n">
        <x:v>7000</x:v>
      </x:c>
      <x:c r="K119" s="219" t="n">
        <x:v>5390</x:v>
      </x:c>
      <x:c r="L119" s="219" t="n">
        <x:v>3770</x:v>
      </x:c>
      <x:c r="M119" s="219" t="n">
        <x:v>2150</x:v>
      </x:c>
      <x:c r="N119" s="219" t="n">
        <x:v>540</x:v>
      </x:c>
    </x:row>
    <x:row r="120">
      <x:c r="A120" s="219" t="n">
        <x:v>398000</x:v>
      </x:c>
      <x:c r="B120" s="219" t="n">
        <x:v>401000</x:v>
      </x:c>
      <x:c r="C120" s="225" t="n">
        <x:v>0</x:v>
      </x:c>
      <x:c r="D120" s="219" t="n">
        <x:v>398000</x:v>
      </x:c>
      <x:c r="E120" s="219" t="n">
        <x:v>88700</x:v>
      </x:c>
      <x:c r="F120" s="225" t="n">
        <x:v>0</x:v>
      </x:c>
      <x:c r="G120" s="219" t="n">
        <x:v>15650</x:v>
      </x:c>
      <x:c r="H120" s="219" t="n">
        <x:v>12430</x:v>
      </x:c>
      <x:c r="I120" s="219" t="n">
        <x:v>9190</x:v>
      </x:c>
      <x:c r="J120" s="219" t="n">
        <x:v>7130</x:v>
      </x:c>
      <x:c r="K120" s="219" t="n">
        <x:v>5510</x:v>
      </x:c>
      <x:c r="L120" s="219" t="n">
        <x:v>3890</x:v>
      </x:c>
      <x:c r="M120" s="219" t="n">
        <x:v>2280</x:v>
      </x:c>
      <x:c r="N120" s="219" t="n">
        <x:v>660</x:v>
      </x:c>
    </x:row>
    <x:row r="121">
      <x:c r="A121" s="219" t="n">
        <x:v>401000</x:v>
      </x:c>
      <x:c r="B121" s="219" t="n">
        <x:v>404000</x:v>
      </x:c>
      <x:c r="C121" s="225" t="n">
        <x:v>0</x:v>
      </x:c>
      <x:c r="D121" s="219" t="n">
        <x:v>401000</x:v>
      </x:c>
      <x:c r="E121" s="219" t="n">
        <x:v>90500</x:v>
      </x:c>
      <x:c r="F121" s="225" t="n">
        <x:v>0</x:v>
      </x:c>
      <x:c r="G121" s="219" t="n">
        <x:v>15900</x:v>
      </x:c>
      <x:c r="H121" s="219" t="n">
        <x:v>12670</x:v>
      </x:c>
      <x:c r="I121" s="219" t="n">
        <x:v>9430</x:v>
      </x:c>
      <x:c r="J121" s="219" t="n">
        <x:v>7250</x:v>
      </x:c>
      <x:c r="K121" s="219" t="n">
        <x:v>5640</x:v>
      </x:c>
      <x:c r="L121" s="219" t="n">
        <x:v>4010</x:v>
      </x:c>
      <x:c r="M121" s="219" t="n">
        <x:v>2400</x:v>
      </x:c>
      <x:c r="N121" s="219" t="n">
        <x:v>790</x:v>
      </x:c>
    </x:row>
    <x:row r="122">
      <x:c r="A122" s="219" t="n">
        <x:v>404000</x:v>
      </x:c>
      <x:c r="B122" s="219" t="n">
        <x:v>407000</x:v>
      </x:c>
      <x:c r="C122" s="225" t="n">
        <x:v>0</x:v>
      </x:c>
      <x:c r="D122" s="219" t="n">
        <x:v>404000</x:v>
      </x:c>
      <x:c r="E122" s="219" t="n">
        <x:v>92200</x:v>
      </x:c>
      <x:c r="F122" s="225" t="n">
        <x:v>0</x:v>
      </x:c>
      <x:c r="G122" s="219" t="n">
        <x:v>16140</x:v>
      </x:c>
      <x:c r="H122" s="219" t="n">
        <x:v>12920</x:v>
      </x:c>
      <x:c r="I122" s="219" t="n">
        <x:v>9680</x:v>
      </x:c>
      <x:c r="J122" s="219" t="n">
        <x:v>7370</x:v>
      </x:c>
      <x:c r="K122" s="219" t="n">
        <x:v>5760</x:v>
      </x:c>
      <x:c r="L122" s="219" t="n">
        <x:v>4140</x:v>
      </x:c>
      <x:c r="M122" s="219" t="n">
        <x:v>2520</x:v>
      </x:c>
      <x:c r="N122" s="219" t="n">
        <x:v>910</x:v>
      </x:c>
    </x:row>
    <x:row r="123">
      <x:c r="A123" s="219" t="n">
        <x:v>407000</x:v>
      </x:c>
      <x:c r="B123" s="219" t="n">
        <x:v>410000</x:v>
      </x:c>
      <x:c r="C123" s="225" t="n">
        <x:v>0</x:v>
      </x:c>
      <x:c r="D123" s="219" t="n">
        <x:v>407000</x:v>
      </x:c>
      <x:c r="E123" s="219" t="n">
        <x:v>93800</x:v>
      </x:c>
      <x:c r="F123" s="225" t="n">
        <x:v>0</x:v>
      </x:c>
      <x:c r="G123" s="219" t="n">
        <x:v>16390</x:v>
      </x:c>
      <x:c r="H123" s="219" t="n">
        <x:v>13160</x:v>
      </x:c>
      <x:c r="I123" s="219" t="n">
        <x:v>9920</x:v>
      </x:c>
      <x:c r="J123" s="219" t="n">
        <x:v>7490</x:v>
      </x:c>
      <x:c r="K123" s="219" t="n">
        <x:v>5880</x:v>
      </x:c>
      <x:c r="L123" s="219" t="n">
        <x:v>4260</x:v>
      </x:c>
      <x:c r="M123" s="219" t="n">
        <x:v>2640</x:v>
      </x:c>
      <x:c r="N123" s="219" t="n">
        <x:v>1030</x:v>
      </x:c>
    </x:row>
    <x:row r="124">
      <x:c r="A124" s="219" t="n">
        <x:v>410000</x:v>
      </x:c>
      <x:c r="B124" s="219" t="n">
        <x:v>413000</x:v>
      </x:c>
      <x:c r="C124" s="225" t="n">
        <x:v>0</x:v>
      </x:c>
      <x:c r="D124" s="219" t="n">
        <x:v>410000</x:v>
      </x:c>
      <x:c r="E124" s="219" t="n">
        <x:v>95600</x:v>
      </x:c>
      <x:c r="F124" s="225" t="n">
        <x:v>0</x:v>
      </x:c>
      <x:c r="G124" s="219" t="n">
        <x:v>16630</x:v>
      </x:c>
      <x:c r="H124" s="219" t="n">
        <x:v>13410</x:v>
      </x:c>
      <x:c r="I124" s="219" t="n">
        <x:v>10170</x:v>
      </x:c>
      <x:c r="J124" s="219" t="n">
        <x:v>7620</x:v>
      </x:c>
      <x:c r="K124" s="219" t="n">
        <x:v>6000</x:v>
      </x:c>
      <x:c r="L124" s="219" t="n">
        <x:v>4380</x:v>
      </x:c>
      <x:c r="M124" s="219" t="n">
        <x:v>2770</x:v>
      </x:c>
      <x:c r="N124" s="219" t="n">
        <x:v>1150</x:v>
      </x:c>
    </x:row>
    <x:row r="125">
      <x:c r="A125" s="219" t="n">
        <x:v>413000</x:v>
      </x:c>
      <x:c r="B125" s="219" t="n">
        <x:v>416000</x:v>
      </x:c>
      <x:c r="C125" s="225" t="n">
        <x:v>0</x:v>
      </x:c>
      <x:c r="D125" s="219" t="n">
        <x:v>413000</x:v>
      </x:c>
      <x:c r="E125" s="219" t="n">
        <x:v>97300</x:v>
      </x:c>
      <x:c r="F125" s="225" t="n">
        <x:v>0</x:v>
      </x:c>
      <x:c r="G125" s="219" t="n">
        <x:v>16880</x:v>
      </x:c>
      <x:c r="H125" s="219" t="n">
        <x:v>13650</x:v>
      </x:c>
      <x:c r="I125" s="219" t="n">
        <x:v>10410</x:v>
      </x:c>
      <x:c r="J125" s="219" t="n">
        <x:v>7740</x:v>
      </x:c>
      <x:c r="K125" s="219" t="n">
        <x:v>6130</x:v>
      </x:c>
      <x:c r="L125" s="219" t="n">
        <x:v>4500</x:v>
      </x:c>
      <x:c r="M125" s="219" t="n">
        <x:v>2890</x:v>
      </x:c>
      <x:c r="N125" s="219" t="n">
        <x:v>1280</x:v>
      </x:c>
    </x:row>
    <x:row r="126">
      <x:c r="A126" s="219" t="n">
        <x:v>416000</x:v>
      </x:c>
      <x:c r="B126" s="219" t="n">
        <x:v>419000</x:v>
      </x:c>
      <x:c r="C126" s="225" t="n">
        <x:v>0</x:v>
      </x:c>
      <x:c r="D126" s="219" t="n">
        <x:v>416000</x:v>
      </x:c>
      <x:c r="E126" s="219" t="n">
        <x:v>98900</x:v>
      </x:c>
      <x:c r="F126" s="225" t="n">
        <x:v>0</x:v>
      </x:c>
      <x:c r="G126" s="219" t="n">
        <x:v>17120</x:v>
      </x:c>
      <x:c r="H126" s="219" t="n">
        <x:v>13900</x:v>
      </x:c>
      <x:c r="I126" s="219" t="n">
        <x:v>10660</x:v>
      </x:c>
      <x:c r="J126" s="219" t="n">
        <x:v>7860</x:v>
      </x:c>
      <x:c r="K126" s="219" t="n">
        <x:v>6250</x:v>
      </x:c>
      <x:c r="L126" s="219" t="n">
        <x:v>4630</x:v>
      </x:c>
      <x:c r="M126" s="219" t="n">
        <x:v>3010</x:v>
      </x:c>
      <x:c r="N126" s="219" t="n">
        <x:v>1400</x:v>
      </x:c>
    </x:row>
    <x:row r="127">
      <x:c r="A127" s="219" t="n">
        <x:v>419000</x:v>
      </x:c>
      <x:c r="B127" s="219" t="n">
        <x:v>422000</x:v>
      </x:c>
      <x:c r="C127" s="225" t="n">
        <x:v>0</x:v>
      </x:c>
      <x:c r="D127" s="219" t="n">
        <x:v>419000</x:v>
      </x:c>
      <x:c r="E127" s="219" t="n">
        <x:v>100700</x:v>
      </x:c>
      <x:c r="F127" s="225" t="n">
        <x:v>0</x:v>
      </x:c>
      <x:c r="G127" s="219" t="n">
        <x:v>17370</x:v>
      </x:c>
      <x:c r="H127" s="219" t="n">
        <x:v>14140</x:v>
      </x:c>
      <x:c r="I127" s="219" t="n">
        <x:v>10900</x:v>
      </x:c>
      <x:c r="J127" s="219" t="n">
        <x:v>7980</x:v>
      </x:c>
      <x:c r="K127" s="219" t="n">
        <x:v>6370</x:v>
      </x:c>
      <x:c r="L127" s="219" t="n">
        <x:v>4750</x:v>
      </x:c>
      <x:c r="M127" s="219" t="n">
        <x:v>3130</x:v>
      </x:c>
      <x:c r="N127" s="219" t="n">
        <x:v>1520</x:v>
      </x:c>
    </x:row>
    <x:row r="128">
      <x:c r="A128" s="219" t="n">
        <x:v>422000</x:v>
      </x:c>
      <x:c r="B128" s="219" t="n">
        <x:v>425000</x:v>
      </x:c>
      <x:c r="C128" s="225" t="n">
        <x:v>0</x:v>
      </x:c>
      <x:c r="D128" s="219" t="n">
        <x:v>422000</x:v>
      </x:c>
      <x:c r="E128" s="219" t="n">
        <x:v>102400</x:v>
      </x:c>
      <x:c r="F128" s="225" t="n">
        <x:v>0</x:v>
      </x:c>
      <x:c r="G128" s="219" t="n">
        <x:v>17610</x:v>
      </x:c>
      <x:c r="H128" s="219" t="n">
        <x:v>14390</x:v>
      </x:c>
      <x:c r="I128" s="219" t="n">
        <x:v>11150</x:v>
      </x:c>
      <x:c r="J128" s="219" t="n">
        <x:v>8110</x:v>
      </x:c>
      <x:c r="K128" s="219" t="n">
        <x:v>6490</x:v>
      </x:c>
      <x:c r="L128" s="219" t="n">
        <x:v>4870</x:v>
      </x:c>
      <x:c r="M128" s="219" t="n">
        <x:v>3260</x:v>
      </x:c>
      <x:c r="N128" s="219" t="n">
        <x:v>1640</x:v>
      </x:c>
    </x:row>
    <x:row r="129">
      <x:c r="A129" s="219" t="n">
        <x:v>425000</x:v>
      </x:c>
      <x:c r="B129" s="219" t="n">
        <x:v>428000</x:v>
      </x:c>
      <x:c r="C129" s="225" t="n">
        <x:v>0</x:v>
      </x:c>
      <x:c r="D129" s="219" t="n">
        <x:v>425000</x:v>
      </x:c>
      <x:c r="E129" s="219" t="n">
        <x:v>104000</x:v>
      </x:c>
      <x:c r="F129" s="225" t="n">
        <x:v>0</x:v>
      </x:c>
      <x:c r="G129" s="219" t="n">
        <x:v>17860</x:v>
      </x:c>
      <x:c r="H129" s="219" t="n">
        <x:v>14630</x:v>
      </x:c>
      <x:c r="I129" s="219" t="n">
        <x:v>11390</x:v>
      </x:c>
      <x:c r="J129" s="219" t="n">
        <x:v>8230</x:v>
      </x:c>
      <x:c r="K129" s="219" t="n">
        <x:v>6620</x:v>
      </x:c>
      <x:c r="L129" s="219" t="n">
        <x:v>4990</x:v>
      </x:c>
      <x:c r="M129" s="219" t="n">
        <x:v>3380</x:v>
      </x:c>
      <x:c r="N129" s="219" t="n">
        <x:v>1770</x:v>
      </x:c>
    </x:row>
    <x:row r="130">
      <x:c r="A130" s="219" t="n">
        <x:v>428000</x:v>
      </x:c>
      <x:c r="B130" s="219" t="n">
        <x:v>431000</x:v>
      </x:c>
      <x:c r="C130" s="225" t="n">
        <x:v>0</x:v>
      </x:c>
      <x:c r="D130" s="219" t="n">
        <x:v>428000</x:v>
      </x:c>
      <x:c r="E130" s="219" t="n">
        <x:v>105800</x:v>
      </x:c>
      <x:c r="F130" s="225" t="n">
        <x:v>0</x:v>
      </x:c>
      <x:c r="G130" s="219" t="n">
        <x:v>18100</x:v>
      </x:c>
      <x:c r="H130" s="219" t="n">
        <x:v>14880</x:v>
      </x:c>
      <x:c r="I130" s="219" t="n">
        <x:v>11640</x:v>
      </x:c>
      <x:c r="J130" s="219" t="n">
        <x:v>8400</x:v>
      </x:c>
      <x:c r="K130" s="219" t="n">
        <x:v>6740</x:v>
      </x:c>
      <x:c r="L130" s="219" t="n">
        <x:v>5120</x:v>
      </x:c>
      <x:c r="M130" s="219" t="n">
        <x:v>3500</x:v>
      </x:c>
      <x:c r="N130" s="219" t="n">
        <x:v>1890</x:v>
      </x:c>
    </x:row>
    <x:row r="131">
      <x:c r="A131" s="219" t="n">
        <x:v>431000</x:v>
      </x:c>
      <x:c r="B131" s="219" t="n">
        <x:v>434000</x:v>
      </x:c>
      <x:c r="C131" s="225" t="n">
        <x:v>0</x:v>
      </x:c>
      <x:c r="D131" s="219" t="n">
        <x:v>431000</x:v>
      </x:c>
      <x:c r="E131" s="219" t="n">
        <x:v>107500</x:v>
      </x:c>
      <x:c r="F131" s="225" t="n">
        <x:v>0</x:v>
      </x:c>
      <x:c r="G131" s="219" t="n">
        <x:v>18350</x:v>
      </x:c>
      <x:c r="H131" s="219" t="n">
        <x:v>15120</x:v>
      </x:c>
      <x:c r="I131" s="219" t="n">
        <x:v>11880</x:v>
      </x:c>
      <x:c r="J131" s="219" t="n">
        <x:v>8650</x:v>
      </x:c>
      <x:c r="K131" s="219" t="n">
        <x:v>6860</x:v>
      </x:c>
      <x:c r="L131" s="219" t="n">
        <x:v>5240</x:v>
      </x:c>
      <x:c r="M131" s="219" t="n">
        <x:v>3620</x:v>
      </x:c>
      <x:c r="N131" s="219" t="n">
        <x:v>2010</x:v>
      </x:c>
    </x:row>
    <x:row r="132">
      <x:c r="A132" s="219" t="n">
        <x:v>434000</x:v>
      </x:c>
      <x:c r="B132" s="219" t="n">
        <x:v>437000</x:v>
      </x:c>
      <x:c r="C132" s="225" t="n">
        <x:v>0</x:v>
      </x:c>
      <x:c r="D132" s="219" t="n">
        <x:v>434000</x:v>
      </x:c>
      <x:c r="E132" s="219" t="n">
        <x:v>109100</x:v>
      </x:c>
      <x:c r="F132" s="225" t="n">
        <x:v>0</x:v>
      </x:c>
      <x:c r="G132" s="219" t="n">
        <x:v>18590</x:v>
      </x:c>
      <x:c r="H132" s="219" t="n">
        <x:v>15370</x:v>
      </x:c>
      <x:c r="I132" s="219" t="n">
        <x:v>12130</x:v>
      </x:c>
      <x:c r="J132" s="219" t="n">
        <x:v>8890</x:v>
      </x:c>
      <x:c r="K132" s="219" t="n">
        <x:v>6980</x:v>
      </x:c>
      <x:c r="L132" s="219" t="n">
        <x:v>5360</x:v>
      </x:c>
      <x:c r="M132" s="219" t="n">
        <x:v>3750</x:v>
      </x:c>
      <x:c r="N132" s="219" t="n">
        <x:v>2130</x:v>
      </x:c>
    </x:row>
    <x:row r="133">
      <x:c r="A133" s="219" t="n">
        <x:v>437000</x:v>
      </x:c>
      <x:c r="B133" s="219" t="n">
        <x:v>440000</x:v>
      </x:c>
      <x:c r="C133" s="225" t="n">
        <x:v>0</x:v>
      </x:c>
      <x:c r="D133" s="219" t="n">
        <x:v>437000</x:v>
      </x:c>
      <x:c r="E133" s="219" t="n">
        <x:v>110900</x:v>
      </x:c>
      <x:c r="F133" s="225" t="n">
        <x:v>0</x:v>
      </x:c>
      <x:c r="G133" s="219" t="n">
        <x:v>18840</x:v>
      </x:c>
      <x:c r="H133" s="219" t="n">
        <x:v>15610</x:v>
      </x:c>
      <x:c r="I133" s="219" t="n">
        <x:v>12370</x:v>
      </x:c>
      <x:c r="J133" s="219" t="n">
        <x:v>9140</x:v>
      </x:c>
      <x:c r="K133" s="219" t="n">
        <x:v>7110</x:v>
      </x:c>
      <x:c r="L133" s="219" t="n">
        <x:v>5480</x:v>
      </x:c>
      <x:c r="M133" s="219" t="n">
        <x:v>3870</x:v>
      </x:c>
      <x:c r="N133" s="219" t="n">
        <x:v>2260</x:v>
      </x:c>
    </x:row>
    <x:row r="134">
      <x:c r="A134" s="219" t="n">
        <x:v>440000</x:v>
      </x:c>
      <x:c r="B134" s="219" t="n">
        <x:v>443000</x:v>
      </x:c>
      <x:c r="C134" s="225" t="n">
        <x:v>0</x:v>
      </x:c>
      <x:c r="D134" s="219" t="n">
        <x:v>440000</x:v>
      </x:c>
      <x:c r="E134" s="219" t="n">
        <x:v>112600</x:v>
      </x:c>
      <x:c r="F134" s="225" t="n">
        <x:v>0</x:v>
      </x:c>
      <x:c r="G134" s="219" t="n">
        <x:v>19080</x:v>
      </x:c>
      <x:c r="H134" s="219" t="n">
        <x:v>15860</x:v>
      </x:c>
      <x:c r="I134" s="219" t="n">
        <x:v>12620</x:v>
      </x:c>
      <x:c r="J134" s="219" t="n">
        <x:v>9380</x:v>
      </x:c>
      <x:c r="K134" s="219" t="n">
        <x:v>7230</x:v>
      </x:c>
      <x:c r="L134" s="219" t="n">
        <x:v>5610</x:v>
      </x:c>
      <x:c r="M134" s="219" t="n">
        <x:v>3990</x:v>
      </x:c>
      <x:c r="N134" s="219" t="n">
        <x:v>2380</x:v>
      </x:c>
    </x:row>
    <x:row r="135">
      <x:c r="A135" s="219" t="n">
        <x:v>443000</x:v>
      </x:c>
      <x:c r="B135" s="219" t="n">
        <x:v>446000</x:v>
      </x:c>
      <x:c r="C135" s="225" t="n">
        <x:v>0</x:v>
      </x:c>
      <x:c r="D135" s="219" t="n">
        <x:v>443000</x:v>
      </x:c>
      <x:c r="E135" s="219" t="n">
        <x:v>114200</x:v>
      </x:c>
      <x:c r="F135" s="225" t="n">
        <x:v>0</x:v>
      </x:c>
      <x:c r="G135" s="219" t="n">
        <x:v>19330</x:v>
      </x:c>
      <x:c r="H135" s="219" t="n">
        <x:v>16100</x:v>
      </x:c>
      <x:c r="I135" s="219" t="n">
        <x:v>12860</x:v>
      </x:c>
      <x:c r="J135" s="219" t="n">
        <x:v>9630</x:v>
      </x:c>
      <x:c r="K135" s="219" t="n">
        <x:v>7350</x:v>
      </x:c>
      <x:c r="L135" s="219" t="n">
        <x:v>5730</x:v>
      </x:c>
      <x:c r="M135" s="219" t="n">
        <x:v>4110</x:v>
      </x:c>
      <x:c r="N135" s="219" t="n">
        <x:v>2500</x:v>
      </x:c>
    </x:row>
    <x:row r="136">
      <x:c r="A136" s="219" t="n">
        <x:v>446000</x:v>
      </x:c>
      <x:c r="B136" s="219" t="n">
        <x:v>449000</x:v>
      </x:c>
      <x:c r="C136" s="225" t="n">
        <x:v>0</x:v>
      </x:c>
      <x:c r="D136" s="219" t="n">
        <x:v>446000</x:v>
      </x:c>
      <x:c r="E136" s="219" t="n">
        <x:v>116000</x:v>
      </x:c>
      <x:c r="F136" s="225" t="n">
        <x:v>0</x:v>
      </x:c>
      <x:c r="G136" s="219" t="n">
        <x:v>19570</x:v>
      </x:c>
      <x:c r="H136" s="219" t="n">
        <x:v>16350</x:v>
      </x:c>
      <x:c r="I136" s="219" t="n">
        <x:v>13110</x:v>
      </x:c>
      <x:c r="J136" s="219" t="n">
        <x:v>9870</x:v>
      </x:c>
      <x:c r="K136" s="219" t="n">
        <x:v>7470</x:v>
      </x:c>
      <x:c r="L136" s="219" t="n">
        <x:v>5850</x:v>
      </x:c>
      <x:c r="M136" s="219" t="n">
        <x:v>4240</x:v>
      </x:c>
      <x:c r="N136" s="219" t="n">
        <x:v>2620</x:v>
      </x:c>
    </x:row>
    <x:row r="137">
      <x:c r="A137" s="219" t="n">
        <x:v>449000</x:v>
      </x:c>
      <x:c r="B137" s="219" t="n">
        <x:v>452000</x:v>
      </x:c>
      <x:c r="C137" s="225" t="n">
        <x:v>0</x:v>
      </x:c>
      <x:c r="D137" s="219" t="n">
        <x:v>449000</x:v>
      </x:c>
      <x:c r="E137" s="219" t="n">
        <x:v>117600</x:v>
      </x:c>
      <x:c r="F137" s="225" t="n">
        <x:v>0</x:v>
      </x:c>
      <x:c r="G137" s="219" t="n">
        <x:v>19860</x:v>
      </x:c>
      <x:c r="H137" s="219" t="n">
        <x:v>16590</x:v>
      </x:c>
      <x:c r="I137" s="219" t="n">
        <x:v>13350</x:v>
      </x:c>
      <x:c r="J137" s="219" t="n">
        <x:v>10120</x:v>
      </x:c>
      <x:c r="K137" s="219" t="n">
        <x:v>7600</x:v>
      </x:c>
      <x:c r="L137" s="219" t="n">
        <x:v>5970</x:v>
      </x:c>
      <x:c r="M137" s="219" t="n">
        <x:v>4360</x:v>
      </x:c>
      <x:c r="N137" s="219" t="n">
        <x:v>2750</x:v>
      </x:c>
    </x:row>
    <x:row r="138">
      <x:c r="A138" s="219" t="n">
        <x:v>452000</x:v>
      </x:c>
      <x:c r="B138" s="219" t="n">
        <x:v>455000</x:v>
      </x:c>
      <x:c r="C138" s="225" t="n">
        <x:v>0</x:v>
      </x:c>
      <x:c r="D138" s="219" t="n">
        <x:v>452000</x:v>
      </x:c>
      <x:c r="E138" s="219" t="n">
        <x:v>119400</x:v>
      </x:c>
      <x:c r="F138" s="225" t="n">
        <x:v>0</x:v>
      </x:c>
      <x:c r="G138" s="219" t="n">
        <x:v>20350</x:v>
      </x:c>
      <x:c r="H138" s="219" t="n">
        <x:v>16840</x:v>
      </x:c>
      <x:c r="I138" s="219" t="n">
        <x:v>13600</x:v>
      </x:c>
      <x:c r="J138" s="219" t="n">
        <x:v>10360</x:v>
      </x:c>
      <x:c r="K138" s="219" t="n">
        <x:v>7720</x:v>
      </x:c>
      <x:c r="L138" s="219" t="n">
        <x:v>6100</x:v>
      </x:c>
      <x:c r="M138" s="219" t="n">
        <x:v>4480</x:v>
      </x:c>
      <x:c r="N138" s="219" t="n">
        <x:v>2870</x:v>
      </x:c>
    </x:row>
    <x:row r="139">
      <x:c r="A139" s="219" t="n">
        <x:v>455000</x:v>
      </x:c>
      <x:c r="B139" s="219" t="n">
        <x:v>458000</x:v>
      </x:c>
      <x:c r="C139" s="225" t="n">
        <x:v>0</x:v>
      </x:c>
      <x:c r="D139" s="219" t="n">
        <x:v>455000</x:v>
      </x:c>
      <x:c r="E139" s="219" t="n">
        <x:v>121100</x:v>
      </x:c>
      <x:c r="F139" s="225" t="n">
        <x:v>0</x:v>
      </x:c>
      <x:c r="G139" s="219" t="n">
        <x:v>20840</x:v>
      </x:c>
      <x:c r="H139" s="219" t="n">
        <x:v>17080</x:v>
      </x:c>
      <x:c r="I139" s="219" t="n">
        <x:v>13840</x:v>
      </x:c>
      <x:c r="J139" s="219" t="n">
        <x:v>10610</x:v>
      </x:c>
      <x:c r="K139" s="219" t="n">
        <x:v>7840</x:v>
      </x:c>
      <x:c r="L139" s="219" t="n">
        <x:v>6220</x:v>
      </x:c>
      <x:c r="M139" s="219" t="n">
        <x:v>4600</x:v>
      </x:c>
      <x:c r="N139" s="219" t="n">
        <x:v>2990</x:v>
      </x:c>
    </x:row>
    <x:row r="140">
      <x:c r="A140" s="219" t="n">
        <x:v>458000</x:v>
      </x:c>
      <x:c r="B140" s="219" t="n">
        <x:v>461000</x:v>
      </x:c>
      <x:c r="C140" s="225" t="n">
        <x:v>0</x:v>
      </x:c>
      <x:c r="D140" s="219" t="n">
        <x:v>458000</x:v>
      </x:c>
      <x:c r="E140" s="219" t="n">
        <x:v>122700</x:v>
      </x:c>
      <x:c r="F140" s="225" t="n">
        <x:v>0</x:v>
      </x:c>
      <x:c r="G140" s="219" t="n">
        <x:v>21330</x:v>
      </x:c>
      <x:c r="H140" s="219" t="n">
        <x:v>17330</x:v>
      </x:c>
      <x:c r="I140" s="219" t="n">
        <x:v>14090</x:v>
      </x:c>
      <x:c r="J140" s="219" t="n">
        <x:v>10850</x:v>
      </x:c>
      <x:c r="K140" s="219" t="n">
        <x:v>7960</x:v>
      </x:c>
      <x:c r="L140" s="219" t="n">
        <x:v>6340</x:v>
      </x:c>
      <x:c r="M140" s="219" t="n">
        <x:v>4730</x:v>
      </x:c>
      <x:c r="N140" s="219" t="n">
        <x:v>3110</x:v>
      </x:c>
    </x:row>
    <x:row r="141">
      <x:c r="A141" s="219" t="n">
        <x:v>461000</x:v>
      </x:c>
      <x:c r="B141" s="219" t="n">
        <x:v>464000</x:v>
      </x:c>
      <x:c r="C141" s="225" t="n">
        <x:v>0</x:v>
      </x:c>
      <x:c r="D141" s="219" t="n">
        <x:v>461000</x:v>
      </x:c>
      <x:c r="E141" s="219" t="n">
        <x:v>124500</x:v>
      </x:c>
      <x:c r="F141" s="225" t="n">
        <x:v>0</x:v>
      </x:c>
      <x:c r="G141" s="219" t="n">
        <x:v>21820</x:v>
      </x:c>
      <x:c r="H141" s="219" t="n">
        <x:v>17570</x:v>
      </x:c>
      <x:c r="I141" s="219" t="n">
        <x:v>14330</x:v>
      </x:c>
      <x:c r="J141" s="219" t="n">
        <x:v>11100</x:v>
      </x:c>
      <x:c r="K141" s="219" t="n">
        <x:v>8090</x:v>
      </x:c>
      <x:c r="L141" s="219" t="n">
        <x:v>6460</x:v>
      </x:c>
      <x:c r="M141" s="219" t="n">
        <x:v>4850</x:v>
      </x:c>
      <x:c r="N141" s="219" t="n">
        <x:v>3240</x:v>
      </x:c>
    </x:row>
    <x:row r="142">
      <x:c r="A142" s="219" t="n">
        <x:v>464000</x:v>
      </x:c>
      <x:c r="B142" s="219" t="n">
        <x:v>467000</x:v>
      </x:c>
      <x:c r="C142" s="225" t="n">
        <x:v>0</x:v>
      </x:c>
      <x:c r="D142" s="219" t="n">
        <x:v>464000</x:v>
      </x:c>
      <x:c r="E142" s="219" t="n">
        <x:v>126200</x:v>
      </x:c>
      <x:c r="F142" s="225" t="n">
        <x:v>0</x:v>
      </x:c>
      <x:c r="G142" s="219" t="n">
        <x:v>22310</x:v>
      </x:c>
      <x:c r="H142" s="219" t="n">
        <x:v>17820</x:v>
      </x:c>
      <x:c r="I142" s="219" t="n">
        <x:v>14580</x:v>
      </x:c>
      <x:c r="J142" s="219" t="n">
        <x:v>11340</x:v>
      </x:c>
      <x:c r="K142" s="219" t="n">
        <x:v>8210</x:v>
      </x:c>
      <x:c r="L142" s="219" t="n">
        <x:v>6590</x:v>
      </x:c>
      <x:c r="M142" s="219" t="n">
        <x:v>4970</x:v>
      </x:c>
      <x:c r="N142" s="219" t="n">
        <x:v>3360</x:v>
      </x:c>
    </x:row>
    <x:row r="143">
      <x:c r="A143" s="219" t="n">
        <x:v>467000</x:v>
      </x:c>
      <x:c r="B143" s="219" t="n">
        <x:v>470000</x:v>
      </x:c>
      <x:c r="C143" s="225" t="n">
        <x:v>0</x:v>
      </x:c>
      <x:c r="D143" s="219" t="n">
        <x:v>467000</x:v>
      </x:c>
      <x:c r="E143" s="219" t="n">
        <x:v>127800</x:v>
      </x:c>
      <x:c r="F143" s="225" t="n">
        <x:v>0</x:v>
      </x:c>
      <x:c r="G143" s="219" t="n">
        <x:v>22800</x:v>
      </x:c>
      <x:c r="H143" s="219" t="n">
        <x:v>18060</x:v>
      </x:c>
      <x:c r="I143" s="219" t="n">
        <x:v>14820</x:v>
      </x:c>
      <x:c r="J143" s="219" t="n">
        <x:v>11590</x:v>
      </x:c>
      <x:c r="K143" s="219" t="n">
        <x:v>8360</x:v>
      </x:c>
      <x:c r="L143" s="219" t="n">
        <x:v>6710</x:v>
      </x:c>
      <x:c r="M143" s="219" t="n">
        <x:v>5090</x:v>
      </x:c>
      <x:c r="N143" s="219" t="n">
        <x:v>3480</x:v>
      </x:c>
    </x:row>
    <x:row r="144">
      <x:c r="A144" s="219" t="n">
        <x:v>470000</x:v>
      </x:c>
      <x:c r="B144" s="219" t="n">
        <x:v>473000</x:v>
      </x:c>
      <x:c r="C144" s="225" t="n">
        <x:v>0</x:v>
      </x:c>
      <x:c r="D144" s="219" t="n">
        <x:v>470000</x:v>
      </x:c>
      <x:c r="E144" s="219" t="n">
        <x:v>129600</x:v>
      </x:c>
      <x:c r="F144" s="225" t="n">
        <x:v>0</x:v>
      </x:c>
      <x:c r="G144" s="219" t="n">
        <x:v>23290</x:v>
      </x:c>
      <x:c r="H144" s="219" t="n">
        <x:v>18310</x:v>
      </x:c>
      <x:c r="I144" s="219" t="n">
        <x:v>15070</x:v>
      </x:c>
      <x:c r="J144" s="219" t="n">
        <x:v>11830</x:v>
      </x:c>
      <x:c r="K144" s="219" t="n">
        <x:v>8610</x:v>
      </x:c>
      <x:c r="L144" s="219" t="n">
        <x:v>6830</x:v>
      </x:c>
      <x:c r="M144" s="219" t="n">
        <x:v>5220</x:v>
      </x:c>
      <x:c r="N144" s="219" t="n">
        <x:v>3600</x:v>
      </x:c>
    </x:row>
    <x:row r="145">
      <x:c r="A145" s="219" t="n">
        <x:v>473000</x:v>
      </x:c>
      <x:c r="B145" s="219" t="n">
        <x:v>476000</x:v>
      </x:c>
      <x:c r="C145" s="225" t="n">
        <x:v>0</x:v>
      </x:c>
      <x:c r="D145" s="219" t="n">
        <x:v>473000</x:v>
      </x:c>
      <x:c r="E145" s="219" t="n">
        <x:v>131200</x:v>
      </x:c>
      <x:c r="F145" s="225" t="n">
        <x:v>0</x:v>
      </x:c>
      <x:c r="G145" s="219" t="n">
        <x:v>23780</x:v>
      </x:c>
      <x:c r="H145" s="219" t="n">
        <x:v>18550</x:v>
      </x:c>
      <x:c r="I145" s="219" t="n">
        <x:v>15320</x:v>
      </x:c>
      <x:c r="J145" s="219" t="n">
        <x:v>12080</x:v>
      </x:c>
      <x:c r="K145" s="219" t="n">
        <x:v>8850</x:v>
      </x:c>
      <x:c r="L145" s="219" t="n">
        <x:v>6950</x:v>
      </x:c>
      <x:c r="M145" s="219" t="n">
        <x:v>5340</x:v>
      </x:c>
      <x:c r="N145" s="219" t="n">
        <x:v>3730</x:v>
      </x:c>
    </x:row>
    <x:row r="146">
      <x:c r="A146" s="219" t="n">
        <x:v>476000</x:v>
      </x:c>
      <x:c r="B146" s="219" t="n">
        <x:v>479000</x:v>
      </x:c>
      <x:c r="C146" s="225" t="n">
        <x:v>0</x:v>
      </x:c>
      <x:c r="D146" s="219" t="n">
        <x:v>476000</x:v>
      </x:c>
      <x:c r="E146" s="219" t="n">
        <x:v>132800</x:v>
      </x:c>
      <x:c r="F146" s="225" t="n">
        <x:v>0</x:v>
      </x:c>
      <x:c r="G146" s="219" t="n">
        <x:v>24270</x:v>
      </x:c>
      <x:c r="H146" s="219" t="n">
        <x:v>18800</x:v>
      </x:c>
      <x:c r="I146" s="219" t="n">
        <x:v>15560</x:v>
      </x:c>
      <x:c r="J146" s="219" t="n">
        <x:v>12320</x:v>
      </x:c>
      <x:c r="K146" s="219" t="n">
        <x:v>9100</x:v>
      </x:c>
      <x:c r="L146" s="219" t="n">
        <x:v>7080</x:v>
      </x:c>
      <x:c r="M146" s="219" t="n">
        <x:v>5460</x:v>
      </x:c>
      <x:c r="N146" s="219" t="n">
        <x:v>3850</x:v>
      </x:c>
    </x:row>
    <x:row r="147">
      <x:c r="A147" s="219" t="n">
        <x:v>479000</x:v>
      </x:c>
      <x:c r="B147" s="219" t="n">
        <x:v>482000</x:v>
      </x:c>
      <x:c r="C147" s="225" t="n">
        <x:v>0</x:v>
      </x:c>
      <x:c r="D147" s="219" t="n">
        <x:v>479000</x:v>
      </x:c>
      <x:c r="E147" s="219" t="n">
        <x:v>134500</x:v>
      </x:c>
      <x:c r="F147" s="225" t="n">
        <x:v>0</x:v>
      </x:c>
      <x:c r="G147" s="219" t="n">
        <x:v>24760</x:v>
      </x:c>
      <x:c r="H147" s="219" t="n">
        <x:v>19040</x:v>
      </x:c>
      <x:c r="I147" s="219" t="n">
        <x:v>15810</x:v>
      </x:c>
      <x:c r="J147" s="219" t="n">
        <x:v>12570</x:v>
      </x:c>
      <x:c r="K147" s="219" t="n">
        <x:v>9340</x:v>
      </x:c>
      <x:c r="L147" s="219" t="n">
        <x:v>7200</x:v>
      </x:c>
      <x:c r="M147" s="219" t="n">
        <x:v>5580</x:v>
      </x:c>
      <x:c r="N147" s="219" t="n">
        <x:v>3970</x:v>
      </x:c>
    </x:row>
    <x:row r="148">
      <x:c r="A148" s="219" t="n">
        <x:v>482000</x:v>
      </x:c>
      <x:c r="B148" s="219" t="n">
        <x:v>485000</x:v>
      </x:c>
      <x:c r="C148" s="225" t="n">
        <x:v>0</x:v>
      </x:c>
      <x:c r="D148" s="219" t="n">
        <x:v>482000</x:v>
      </x:c>
      <x:c r="E148" s="219" t="n">
        <x:v>136100</x:v>
      </x:c>
      <x:c r="F148" s="225" t="n">
        <x:v>0</x:v>
      </x:c>
      <x:c r="G148" s="219" t="n">
        <x:v>25250</x:v>
      </x:c>
      <x:c r="H148" s="219" t="n">
        <x:v>19290</x:v>
      </x:c>
      <x:c r="I148" s="219" t="n">
        <x:v>16050</x:v>
      </x:c>
      <x:c r="J148" s="219" t="n">
        <x:v>12810</x:v>
      </x:c>
      <x:c r="K148" s="219" t="n">
        <x:v>9590</x:v>
      </x:c>
      <x:c r="L148" s="219" t="n">
        <x:v>7320</x:v>
      </x:c>
      <x:c r="M148" s="219" t="n">
        <x:v>5710</x:v>
      </x:c>
      <x:c r="N148" s="219" t="n">
        <x:v>4090</x:v>
      </x:c>
    </x:row>
    <x:row r="149">
      <x:c r="A149" s="219" t="n">
        <x:v>485000</x:v>
      </x:c>
      <x:c r="B149" s="219" t="n">
        <x:v>488000</x:v>
      </x:c>
      <x:c r="C149" s="225" t="n">
        <x:v>0</x:v>
      </x:c>
      <x:c r="D149" s="219" t="n">
        <x:v>485000</x:v>
      </x:c>
      <x:c r="E149" s="219" t="n">
        <x:v>137600</x:v>
      </x:c>
      <x:c r="F149" s="225" t="n">
        <x:v>0</x:v>
      </x:c>
      <x:c r="G149" s="219" t="n">
        <x:v>25740</x:v>
      </x:c>
      <x:c r="H149" s="219" t="n">
        <x:v>19530</x:v>
      </x:c>
      <x:c r="I149" s="219" t="n">
        <x:v>16300</x:v>
      </x:c>
      <x:c r="J149" s="219" t="n">
        <x:v>13060</x:v>
      </x:c>
      <x:c r="K149" s="219" t="n">
        <x:v>9830</x:v>
      </x:c>
      <x:c r="L149" s="219" t="n">
        <x:v>7440</x:v>
      </x:c>
      <x:c r="M149" s="219" t="n">
        <x:v>5830</x:v>
      </x:c>
      <x:c r="N149" s="219" t="n">
        <x:v>4220</x:v>
      </x:c>
    </x:row>
    <x:row r="150">
      <x:c r="A150" s="219" t="n">
        <x:v>488000</x:v>
      </x:c>
      <x:c r="B150" s="219" t="n">
        <x:v>491000</x:v>
      </x:c>
      <x:c r="C150" s="225" t="n">
        <x:v>0</x:v>
      </x:c>
      <x:c r="D150" s="219" t="n">
        <x:v>488000</x:v>
      </x:c>
      <x:c r="E150" s="219" t="n">
        <x:v>139300</x:v>
      </x:c>
      <x:c r="F150" s="225" t="n">
        <x:v>0</x:v>
      </x:c>
      <x:c r="G150" s="219" t="n">
        <x:v>26230</x:v>
      </x:c>
      <x:c r="H150" s="219" t="n">
        <x:v>19780</x:v>
      </x:c>
      <x:c r="I150" s="219" t="n">
        <x:v>16540</x:v>
      </x:c>
      <x:c r="J150" s="219" t="n">
        <x:v>13300</x:v>
      </x:c>
      <x:c r="K150" s="219" t="n">
        <x:v>10080</x:v>
      </x:c>
      <x:c r="L150" s="219" t="n">
        <x:v>7570</x:v>
      </x:c>
      <x:c r="M150" s="219" t="n">
        <x:v>5950</x:v>
      </x:c>
      <x:c r="N150" s="219" t="n">
        <x:v>4340</x:v>
      </x:c>
    </x:row>
    <x:row r="151">
      <x:c r="A151" s="219" t="n">
        <x:v>491000</x:v>
      </x:c>
      <x:c r="B151" s="219" t="n">
        <x:v>494000</x:v>
      </x:c>
      <x:c r="C151" s="225" t="n">
        <x:v>0</x:v>
      </x:c>
      <x:c r="D151" s="219" t="n">
        <x:v>491000</x:v>
      </x:c>
      <x:c r="E151" s="219" t="n">
        <x:v>140900</x:v>
      </x:c>
      <x:c r="F151" s="225" t="n">
        <x:v>0</x:v>
      </x:c>
      <x:c r="G151" s="219" t="n">
        <x:v>26720</x:v>
      </x:c>
      <x:c r="H151" s="219" t="n">
        <x:v>20260</x:v>
      </x:c>
      <x:c r="I151" s="219" t="n">
        <x:v>16790</x:v>
      </x:c>
      <x:c r="J151" s="219" t="n">
        <x:v>13550</x:v>
      </x:c>
      <x:c r="K151" s="219" t="n">
        <x:v>10320</x:v>
      </x:c>
      <x:c r="L151" s="219" t="n">
        <x:v>7690</x:v>
      </x:c>
      <x:c r="M151" s="219" t="n">
        <x:v>6070</x:v>
      </x:c>
      <x:c r="N151" s="219" t="n">
        <x:v>4460</x:v>
      </x:c>
    </x:row>
    <x:row r="152">
      <x:c r="A152" s="219" t="n">
        <x:v>494000</x:v>
      </x:c>
      <x:c r="B152" s="219" t="n">
        <x:v>497000</x:v>
      </x:c>
      <x:c r="C152" s="225" t="n">
        <x:v>0</x:v>
      </x:c>
      <x:c r="D152" s="219" t="n">
        <x:v>494000</x:v>
      </x:c>
      <x:c r="E152" s="219" t="n">
        <x:v>142500</x:v>
      </x:c>
      <x:c r="F152" s="225" t="n">
        <x:v>0</x:v>
      </x:c>
      <x:c r="G152" s="219" t="n">
        <x:v>27210</x:v>
      </x:c>
      <x:c r="H152" s="219" t="n">
        <x:v>20750</x:v>
      </x:c>
      <x:c r="I152" s="219" t="n">
        <x:v>17030</x:v>
      </x:c>
      <x:c r="J152" s="219" t="n">
        <x:v>13790</x:v>
      </x:c>
      <x:c r="K152" s="219" t="n">
        <x:v>10570</x:v>
      </x:c>
      <x:c r="L152" s="219" t="n">
        <x:v>7810</x:v>
      </x:c>
      <x:c r="M152" s="219" t="n">
        <x:v>6200</x:v>
      </x:c>
      <x:c r="N152" s="219" t="n">
        <x:v>4580</x:v>
      </x:c>
    </x:row>
    <x:row r="153">
      <x:c r="A153" s="219" t="n">
        <x:v>497000</x:v>
      </x:c>
      <x:c r="B153" s="219" t="n">
        <x:v>500000</x:v>
      </x:c>
      <x:c r="C153" s="225" t="n">
        <x:v>0</x:v>
      </x:c>
      <x:c r="D153" s="219" t="n">
        <x:v>497000</x:v>
      </x:c>
      <x:c r="E153" s="219" t="n">
        <x:v>144100</x:v>
      </x:c>
      <x:c r="F153" s="225" t="n">
        <x:v>0</x:v>
      </x:c>
      <x:c r="G153" s="219" t="n">
        <x:v>27700</x:v>
      </x:c>
      <x:c r="H153" s="219" t="n">
        <x:v>21240</x:v>
      </x:c>
      <x:c r="I153" s="219" t="n">
        <x:v>17280</x:v>
      </x:c>
      <x:c r="J153" s="219" t="n">
        <x:v>14040</x:v>
      </x:c>
      <x:c r="K153" s="219" t="n">
        <x:v>10810</x:v>
      </x:c>
      <x:c r="L153" s="219" t="n">
        <x:v>7930</x:v>
      </x:c>
      <x:c r="M153" s="219" t="n">
        <x:v>6320</x:v>
      </x:c>
      <x:c r="N153" s="219" t="n">
        <x:v>4710</x:v>
      </x:c>
    </x:row>
    <x:row r="154">
      <x:c r="A154" s="219" t="n">
        <x:v>500000</x:v>
      </x:c>
      <x:c r="B154" s="219" t="n">
        <x:v>503000</x:v>
      </x:c>
      <x:c r="C154" s="225" t="n">
        <x:v>0</x:v>
      </x:c>
      <x:c r="D154" s="219" t="n">
        <x:v>500000</x:v>
      </x:c>
      <x:c r="E154" s="219" t="n">
        <x:v>145700</x:v>
      </x:c>
      <x:c r="F154" s="225" t="n">
        <x:v>0</x:v>
      </x:c>
      <x:c r="G154" s="219" t="n">
        <x:v>28190</x:v>
      </x:c>
      <x:c r="H154" s="219" t="n">
        <x:v>21730</x:v>
      </x:c>
      <x:c r="I154" s="219" t="n">
        <x:v>17520</x:v>
      </x:c>
      <x:c r="J154" s="219" t="n">
        <x:v>14280</x:v>
      </x:c>
      <x:c r="K154" s="219" t="n">
        <x:v>11060</x:v>
      </x:c>
      <x:c r="L154" s="219" t="n">
        <x:v>8060</x:v>
      </x:c>
      <x:c r="M154" s="219" t="n">
        <x:v>6440</x:v>
      </x:c>
      <x:c r="N154" s="219" t="n">
        <x:v>4830</x:v>
      </x:c>
    </x:row>
    <x:row r="155">
      <x:c r="A155" s="219" t="n">
        <x:v>503000</x:v>
      </x:c>
      <x:c r="B155" s="219" t="n">
        <x:v>506000</x:v>
      </x:c>
      <x:c r="C155" s="225" t="n">
        <x:v>0</x:v>
      </x:c>
      <x:c r="D155" s="219" t="n">
        <x:v>503000</x:v>
      </x:c>
      <x:c r="E155" s="219" t="n">
        <x:v>147300</x:v>
      </x:c>
      <x:c r="F155" s="225" t="n">
        <x:v>0</x:v>
      </x:c>
      <x:c r="G155" s="219" t="n">
        <x:v>28680</x:v>
      </x:c>
      <x:c r="H155" s="219" t="n">
        <x:v>22220</x:v>
      </x:c>
      <x:c r="I155" s="219" t="n">
        <x:v>17770</x:v>
      </x:c>
      <x:c r="J155" s="219" t="n">
        <x:v>14530</x:v>
      </x:c>
      <x:c r="K155" s="219" t="n">
        <x:v>11300</x:v>
      </x:c>
      <x:c r="L155" s="219" t="n">
        <x:v>8180</x:v>
      </x:c>
      <x:c r="M155" s="219" t="n">
        <x:v>6570</x:v>
      </x:c>
      <x:c r="N155" s="219" t="n">
        <x:v>4950</x:v>
      </x:c>
    </x:row>
    <x:row r="156">
      <x:c r="A156" s="219" t="n">
        <x:v>506000</x:v>
      </x:c>
      <x:c r="B156" s="219" t="n">
        <x:v>509000</x:v>
      </x:c>
      <x:c r="C156" s="225" t="n">
        <x:v>0</x:v>
      </x:c>
      <x:c r="D156" s="219" t="n">
        <x:v>506000</x:v>
      </x:c>
      <x:c r="E156" s="219" t="n">
        <x:v>149000</x:v>
      </x:c>
      <x:c r="F156" s="225" t="n">
        <x:v>0</x:v>
      </x:c>
      <x:c r="G156" s="219" t="n">
        <x:v>29170</x:v>
      </x:c>
      <x:c r="H156" s="219" t="n">
        <x:v>22710</x:v>
      </x:c>
      <x:c r="I156" s="219" t="n">
        <x:v>18010</x:v>
      </x:c>
      <x:c r="J156" s="219" t="n">
        <x:v>14770</x:v>
      </x:c>
      <x:c r="K156" s="219" t="n">
        <x:v>11550</x:v>
      </x:c>
      <x:c r="L156" s="219" t="n">
        <x:v>8310</x:v>
      </x:c>
      <x:c r="M156" s="219" t="n">
        <x:v>6690</x:v>
      </x:c>
      <x:c r="N156" s="219" t="n">
        <x:v>5070</x:v>
      </x:c>
    </x:row>
    <x:row r="157">
      <x:c r="A157" s="219" t="n">
        <x:v>509000</x:v>
      </x:c>
      <x:c r="B157" s="219" t="n">
        <x:v>512000</x:v>
      </x:c>
      <x:c r="C157" s="225" t="n">
        <x:v>0</x:v>
      </x:c>
      <x:c r="D157" s="219" t="n">
        <x:v>509000</x:v>
      </x:c>
      <x:c r="E157" s="219" t="n">
        <x:v>150500</x:v>
      </x:c>
      <x:c r="F157" s="225" t="n">
        <x:v>0</x:v>
      </x:c>
      <x:c r="G157" s="219" t="n">
        <x:v>29660</x:v>
      </x:c>
      <x:c r="H157" s="219" t="n">
        <x:v>23200</x:v>
      </x:c>
      <x:c r="I157" s="219" t="n">
        <x:v>18260</x:v>
      </x:c>
      <x:c r="J157" s="219" t="n">
        <x:v>15020</x:v>
      </x:c>
      <x:c r="K157" s="219" t="n">
        <x:v>11790</x:v>
      </x:c>
      <x:c r="L157" s="219" t="n">
        <x:v>8560</x:v>
      </x:c>
      <x:c r="M157" s="219" t="n">
        <x:v>6810</x:v>
      </x:c>
      <x:c r="N157" s="219" t="n">
        <x:v>5200</x:v>
      </x:c>
    </x:row>
    <x:row r="158">
      <x:c r="A158" s="219" t="n">
        <x:v>512000</x:v>
      </x:c>
      <x:c r="B158" s="219" t="n">
        <x:v>515000</x:v>
      </x:c>
      <x:c r="C158" s="225" t="n">
        <x:v>0</x:v>
      </x:c>
      <x:c r="D158" s="219" t="n">
        <x:v>512000</x:v>
      </x:c>
      <x:c r="E158" s="219" t="n">
        <x:v>152100</x:v>
      </x:c>
      <x:c r="F158" s="225" t="n">
        <x:v>0</x:v>
      </x:c>
      <x:c r="G158" s="219" t="n">
        <x:v>30150</x:v>
      </x:c>
      <x:c r="H158" s="219" t="n">
        <x:v>23690</x:v>
      </x:c>
      <x:c r="I158" s="219" t="n">
        <x:v>18500</x:v>
      </x:c>
      <x:c r="J158" s="219" t="n">
        <x:v>15260</x:v>
      </x:c>
      <x:c r="K158" s="219" t="n">
        <x:v>12040</x:v>
      </x:c>
      <x:c r="L158" s="219" t="n">
        <x:v>8800</x:v>
      </x:c>
      <x:c r="M158" s="219" t="n">
        <x:v>6930</x:v>
      </x:c>
      <x:c r="N158" s="219" t="n">
        <x:v>5320</x:v>
      </x:c>
    </x:row>
    <x:row r="159">
      <x:c r="A159" s="219" t="n">
        <x:v>515000</x:v>
      </x:c>
      <x:c r="B159" s="219" t="n">
        <x:v>518000</x:v>
      </x:c>
      <x:c r="C159" s="225" t="n">
        <x:v>0</x:v>
      </x:c>
      <x:c r="D159" s="219" t="n">
        <x:v>515000</x:v>
      </x:c>
      <x:c r="E159" s="219" t="n">
        <x:v>153800</x:v>
      </x:c>
      <x:c r="F159" s="225" t="n">
        <x:v>0</x:v>
      </x:c>
      <x:c r="G159" s="219" t="n">
        <x:v>30640</x:v>
      </x:c>
      <x:c r="H159" s="219" t="n">
        <x:v>24180</x:v>
      </x:c>
      <x:c r="I159" s="219" t="n">
        <x:v>18750</x:v>
      </x:c>
      <x:c r="J159" s="219" t="n">
        <x:v>15510</x:v>
      </x:c>
      <x:c r="K159" s="219" t="n">
        <x:v>12280</x:v>
      </x:c>
      <x:c r="L159" s="219" t="n">
        <x:v>9050</x:v>
      </x:c>
      <x:c r="M159" s="219" t="n">
        <x:v>7060</x:v>
      </x:c>
      <x:c r="N159" s="219" t="n">
        <x:v>5440</x:v>
      </x:c>
    </x:row>
    <x:row r="160">
      <x:c r="A160" s="219" t="n">
        <x:v>518000</x:v>
      </x:c>
      <x:c r="B160" s="219" t="n">
        <x:v>521000</x:v>
      </x:c>
      <x:c r="C160" s="225" t="n">
        <x:v>0</x:v>
      </x:c>
      <x:c r="D160" s="219" t="n">
        <x:v>518000</x:v>
      </x:c>
      <x:c r="E160" s="219" t="n">
        <x:v>155400</x:v>
      </x:c>
      <x:c r="F160" s="225" t="n">
        <x:v>0</x:v>
      </x:c>
      <x:c r="G160" s="219" t="n">
        <x:v>31130</x:v>
      </x:c>
      <x:c r="H160" s="219" t="n">
        <x:v>24670</x:v>
      </x:c>
      <x:c r="I160" s="219" t="n">
        <x:v>18990</x:v>
      </x:c>
      <x:c r="J160" s="219" t="n">
        <x:v>15750</x:v>
      </x:c>
      <x:c r="K160" s="219" t="n">
        <x:v>12530</x:v>
      </x:c>
      <x:c r="L160" s="219" t="n">
        <x:v>9290</x:v>
      </x:c>
      <x:c r="M160" s="219" t="n">
        <x:v>7180</x:v>
      </x:c>
      <x:c r="N160" s="219" t="n">
        <x:v>5560</x:v>
      </x:c>
    </x:row>
    <x:row r="161">
      <x:c r="A161" s="219" t="n">
        <x:v>521000</x:v>
      </x:c>
      <x:c r="B161" s="219" t="n">
        <x:v>524000</x:v>
      </x:c>
      <x:c r="C161" s="225" t="n">
        <x:v>0</x:v>
      </x:c>
      <x:c r="D161" s="219" t="n">
        <x:v>521000</x:v>
      </x:c>
      <x:c r="E161" s="219" t="n">
        <x:v>156900</x:v>
      </x:c>
      <x:c r="F161" s="225" t="n">
        <x:v>0</x:v>
      </x:c>
      <x:c r="G161" s="219" t="n">
        <x:v>31620</x:v>
      </x:c>
      <x:c r="H161" s="219" t="n">
        <x:v>25160</x:v>
      </x:c>
      <x:c r="I161" s="219" t="n">
        <x:v>19240</x:v>
      </x:c>
      <x:c r="J161" s="219" t="n">
        <x:v>16000</x:v>
      </x:c>
      <x:c r="K161" s="219" t="n">
        <x:v>12770</x:v>
      </x:c>
      <x:c r="L161" s="219" t="n">
        <x:v>9540</x:v>
      </x:c>
      <x:c r="M161" s="219" t="n">
        <x:v>7300</x:v>
      </x:c>
      <x:c r="N161" s="219" t="n">
        <x:v>5690</x:v>
      </x:c>
    </x:row>
    <x:row r="162">
      <x:c r="A162" s="219" t="n">
        <x:v>524000</x:v>
      </x:c>
      <x:c r="B162" s="219" t="n">
        <x:v>527000</x:v>
      </x:c>
      <x:c r="C162" s="225" t="n">
        <x:v>0</x:v>
      </x:c>
      <x:c r="D162" s="219" t="n">
        <x:v>524000</x:v>
      </x:c>
      <x:c r="E162" s="219" t="n">
        <x:v>158600</x:v>
      </x:c>
      <x:c r="F162" s="225" t="n">
        <x:v>0</x:v>
      </x:c>
      <x:c r="G162" s="219" t="n">
        <x:v>32110</x:v>
      </x:c>
      <x:c r="H162" s="219" t="n">
        <x:v>25650</x:v>
      </x:c>
      <x:c r="I162" s="219" t="n">
        <x:v>19480</x:v>
      </x:c>
      <x:c r="J162" s="219" t="n">
        <x:v>16240</x:v>
      </x:c>
      <x:c r="K162" s="219" t="n">
        <x:v>13020</x:v>
      </x:c>
      <x:c r="L162" s="219" t="n">
        <x:v>9780</x:v>
      </x:c>
      <x:c r="M162" s="219" t="n">
        <x:v>7420</x:v>
      </x:c>
      <x:c r="N162" s="219" t="n">
        <x:v>5810</x:v>
      </x:c>
    </x:row>
    <x:row r="163">
      <x:c r="A163" s="219" t="n">
        <x:v>527000</x:v>
      </x:c>
      <x:c r="B163" s="219" t="n">
        <x:v>530000</x:v>
      </x:c>
      <x:c r="C163" s="225" t="n">
        <x:v>0</x:v>
      </x:c>
      <x:c r="D163" s="219" t="n">
        <x:v>527000</x:v>
      </x:c>
      <x:c r="E163" s="219" t="n">
        <x:v>160200</x:v>
      </x:c>
      <x:c r="F163" s="225" t="n">
        <x:v>0</x:v>
      </x:c>
      <x:c r="G163" s="219" t="n">
        <x:v>32600</x:v>
      </x:c>
      <x:c r="H163" s="219" t="n">
        <x:v>26140</x:v>
      </x:c>
      <x:c r="I163" s="219" t="n">
        <x:v>19730</x:v>
      </x:c>
      <x:c r="J163" s="219" t="n">
        <x:v>16490</x:v>
      </x:c>
      <x:c r="K163" s="219" t="n">
        <x:v>13260</x:v>
      </x:c>
      <x:c r="L163" s="219" t="n">
        <x:v>10030</x:v>
      </x:c>
      <x:c r="M163" s="219" t="n">
        <x:v>7550</x:v>
      </x:c>
      <x:c r="N163" s="219" t="n">
        <x:v>5930</x:v>
      </x:c>
    </x:row>
    <x:row r="164">
      <x:c r="A164" s="219" t="n">
        <x:v>530000</x:v>
      </x:c>
      <x:c r="B164" s="219" t="n">
        <x:v>533000</x:v>
      </x:c>
      <x:c r="C164" s="225" t="n">
        <x:v>0</x:v>
      </x:c>
      <x:c r="D164" s="219" t="n">
        <x:v>530000</x:v>
      </x:c>
      <x:c r="E164" s="219" t="n">
        <x:v>161600</x:v>
      </x:c>
      <x:c r="F164" s="225" t="n">
        <x:v>0</x:v>
      </x:c>
      <x:c r="G164" s="219" t="n">
        <x:v>33090</x:v>
      </x:c>
      <x:c r="H164" s="219" t="n">
        <x:v>26630</x:v>
      </x:c>
      <x:c r="I164" s="219" t="n">
        <x:v>20160</x:v>
      </x:c>
      <x:c r="J164" s="219" t="n">
        <x:v>16730</x:v>
      </x:c>
      <x:c r="K164" s="219" t="n">
        <x:v>13510</x:v>
      </x:c>
      <x:c r="L164" s="219" t="n">
        <x:v>10270</x:v>
      </x:c>
      <x:c r="M164" s="219" t="n">
        <x:v>7670</x:v>
      </x:c>
      <x:c r="N164" s="219" t="n">
        <x:v>6050</x:v>
      </x:c>
    </x:row>
    <x:row r="165">
      <x:c r="A165" s="219" t="n">
        <x:v>533000</x:v>
      </x:c>
      <x:c r="B165" s="219" t="n">
        <x:v>536000</x:v>
      </x:c>
      <x:c r="C165" s="225" t="n">
        <x:v>0</x:v>
      </x:c>
      <x:c r="D165" s="219" t="n">
        <x:v>533000</x:v>
      </x:c>
      <x:c r="E165" s="219" t="n">
        <x:v>163200</x:v>
      </x:c>
      <x:c r="F165" s="225" t="n">
        <x:v>0</x:v>
      </x:c>
      <x:c r="G165" s="219" t="n">
        <x:v>33580</x:v>
      </x:c>
      <x:c r="H165" s="219" t="n">
        <x:v>27120</x:v>
      </x:c>
      <x:c r="I165" s="219" t="n">
        <x:v>20650</x:v>
      </x:c>
      <x:c r="J165" s="219" t="n">
        <x:v>16980</x:v>
      </x:c>
      <x:c r="K165" s="219" t="n">
        <x:v>13750</x:v>
      </x:c>
      <x:c r="L165" s="219" t="n">
        <x:v>10520</x:v>
      </x:c>
      <x:c r="M165" s="219" t="n">
        <x:v>7790</x:v>
      </x:c>
      <x:c r="N165" s="219" t="n">
        <x:v>6180</x:v>
      </x:c>
    </x:row>
    <x:row r="166">
      <x:c r="A166" s="219" t="n">
        <x:v>536000</x:v>
      </x:c>
      <x:c r="B166" s="219" t="n">
        <x:v>539000</x:v>
      </x:c>
      <x:c r="C166" s="225" t="n">
        <x:v>0</x:v>
      </x:c>
      <x:c r="D166" s="219" t="n">
        <x:v>536000</x:v>
      </x:c>
      <x:c r="E166" s="219" t="n">
        <x:v>164600</x:v>
      </x:c>
      <x:c r="F166" s="225" t="n">
        <x:v>0</x:v>
      </x:c>
      <x:c r="G166" s="219" t="n">
        <x:v>34070</x:v>
      </x:c>
      <x:c r="H166" s="219" t="n">
        <x:v>27610</x:v>
      </x:c>
      <x:c r="I166" s="219" t="n">
        <x:v>21140</x:v>
      </x:c>
      <x:c r="J166" s="219" t="n">
        <x:v>17220</x:v>
      </x:c>
      <x:c r="K166" s="219" t="n">
        <x:v>14000</x:v>
      </x:c>
      <x:c r="L166" s="219" t="n">
        <x:v>10760</x:v>
      </x:c>
      <x:c r="M166" s="219" t="n">
        <x:v>7910</x:v>
      </x:c>
      <x:c r="N166" s="219" t="n">
        <x:v>6300</x:v>
      </x:c>
    </x:row>
    <x:row r="167">
      <x:c r="A167" s="219" t="n">
        <x:v>539000</x:v>
      </x:c>
      <x:c r="B167" s="219" t="n">
        <x:v>542000</x:v>
      </x:c>
      <x:c r="C167" s="225" t="n">
        <x:v>0</x:v>
      </x:c>
      <x:c r="D167" s="219" t="n">
        <x:v>539000</x:v>
      </x:c>
      <x:c r="E167" s="219" t="n">
        <x:v>166000</x:v>
      </x:c>
      <x:c r="F167" s="225" t="n">
        <x:v>0</x:v>
      </x:c>
      <x:c r="G167" s="219" t="n">
        <x:v>34560</x:v>
      </x:c>
      <x:c r="H167" s="219" t="n">
        <x:v>28100</x:v>
      </x:c>
      <x:c r="I167" s="219" t="n">
        <x:v>21630</x:v>
      </x:c>
      <x:c r="J167" s="219" t="n">
        <x:v>17470</x:v>
      </x:c>
      <x:c r="K167" s="219" t="n">
        <x:v>14240</x:v>
      </x:c>
      <x:c r="L167" s="219" t="n">
        <x:v>11010</x:v>
      </x:c>
      <x:c r="M167" s="219" t="n">
        <x:v>8040</x:v>
      </x:c>
      <x:c r="N167" s="219" t="n">
        <x:v>6420</x:v>
      </x:c>
    </x:row>
    <x:row r="168">
      <x:c r="A168" s="219" t="n">
        <x:v>542000</x:v>
      </x:c>
      <x:c r="B168" s="219" t="n">
        <x:v>545000</x:v>
      </x:c>
      <x:c r="C168" s="225" t="n">
        <x:v>0</x:v>
      </x:c>
      <x:c r="D168" s="219" t="n">
        <x:v>542000</x:v>
      </x:c>
      <x:c r="E168" s="219" t="n">
        <x:v>167500</x:v>
      </x:c>
      <x:c r="F168" s="225" t="n">
        <x:v>0</x:v>
      </x:c>
      <x:c r="G168" s="219" t="n">
        <x:v>35050</x:v>
      </x:c>
      <x:c r="H168" s="219" t="n">
        <x:v>28590</x:v>
      </x:c>
      <x:c r="I168" s="219" t="n">
        <x:v>22130</x:v>
      </x:c>
      <x:c r="J168" s="219" t="n">
        <x:v>17710</x:v>
      </x:c>
      <x:c r="K168" s="219" t="n">
        <x:v>14490</x:v>
      </x:c>
      <x:c r="L168" s="219" t="n">
        <x:v>11250</x:v>
      </x:c>
      <x:c r="M168" s="219" t="n">
        <x:v>8160</x:v>
      </x:c>
      <x:c r="N168" s="219" t="n">
        <x:v>6540</x:v>
      </x:c>
    </x:row>
    <x:row r="169">
      <x:c r="A169" s="219" t="n">
        <x:v>545000</x:v>
      </x:c>
      <x:c r="B169" s="219" t="n">
        <x:v>548000</x:v>
      </x:c>
      <x:c r="C169" s="225" t="n">
        <x:v>0</x:v>
      </x:c>
      <x:c r="D169" s="219" t="n">
        <x:v>545000</x:v>
      </x:c>
      <x:c r="E169" s="219" t="n">
        <x:v>169000</x:v>
      </x:c>
      <x:c r="F169" s="225" t="n">
        <x:v>0</x:v>
      </x:c>
      <x:c r="G169" s="219" t="n">
        <x:v>35540</x:v>
      </x:c>
      <x:c r="H169" s="219" t="n">
        <x:v>29080</x:v>
      </x:c>
      <x:c r="I169" s="219" t="n">
        <x:v>22620</x:v>
      </x:c>
      <x:c r="J169" s="219" t="n">
        <x:v>17960</x:v>
      </x:c>
      <x:c r="K169" s="219" t="n">
        <x:v>14730</x:v>
      </x:c>
      <x:c r="L169" s="219" t="n">
        <x:v>11500</x:v>
      </x:c>
      <x:c r="M169" s="219" t="n">
        <x:v>8280</x:v>
      </x:c>
      <x:c r="N169" s="219" t="n">
        <x:v>6670</x:v>
      </x:c>
    </x:row>
    <x:row r="170">
      <x:c r="A170" s="219" t="n">
        <x:v>548000</x:v>
      </x:c>
      <x:c r="B170" s="219" t="n">
        <x:v>551000</x:v>
      </x:c>
      <x:c r="C170" s="225" t="n">
        <x:v>0</x:v>
      </x:c>
      <x:c r="D170" s="219" t="n">
        <x:v>548000</x:v>
      </x:c>
      <x:c r="E170" s="219" t="n">
        <x:v>170500</x:v>
      </x:c>
      <x:c r="F170" s="225" t="n">
        <x:v>0</x:v>
      </x:c>
      <x:c r="G170" s="219" t="n">
        <x:v>36030</x:v>
      </x:c>
      <x:c r="H170" s="219" t="n">
        <x:v>29570</x:v>
      </x:c>
      <x:c r="I170" s="219" t="n">
        <x:v>23110</x:v>
      </x:c>
      <x:c r="J170" s="219" t="n">
        <x:v>18200</x:v>
      </x:c>
      <x:c r="K170" s="219" t="n">
        <x:v>14980</x:v>
      </x:c>
      <x:c r="L170" s="219" t="n">
        <x:v>11740</x:v>
      </x:c>
      <x:c r="M170" s="219" t="n">
        <x:v>8500</x:v>
      </x:c>
      <x:c r="N170" s="219" t="n">
        <x:v>6790</x:v>
      </x:c>
    </x:row>
    <x:row r="171">
      <x:c r="A171" s="219" t="n">
        <x:v>551000</x:v>
      </x:c>
      <x:c r="B171" s="219" t="n">
        <x:v>554000</x:v>
      </x:c>
      <x:c r="C171" s="225" t="n">
        <x:v>0</x:v>
      </x:c>
      <x:c r="D171" s="219" t="n">
        <x:v>551000</x:v>
      </x:c>
      <x:c r="E171" s="219" t="n">
        <x:v>171900</x:v>
      </x:c>
      <x:c r="F171" s="225" t="n">
        <x:v>0</x:v>
      </x:c>
      <x:c r="G171" s="219" t="n">
        <x:v>36570</x:v>
      </x:c>
      <x:c r="H171" s="219" t="n">
        <x:v>30110</x:v>
      </x:c>
      <x:c r="I171" s="219" t="n">
        <x:v>23650</x:v>
      </x:c>
      <x:c r="J171" s="219" t="n">
        <x:v>18480</x:v>
      </x:c>
      <x:c r="K171" s="219" t="n">
        <x:v>15240</x:v>
      </x:c>
      <x:c r="L171" s="219" t="n">
        <x:v>12020</x:v>
      </x:c>
      <x:c r="M171" s="219" t="n">
        <x:v>8780</x:v>
      </x:c>
      <x:c r="N171" s="219" t="n">
        <x:v>6920</x:v>
      </x:c>
    </x:row>
    <x:row r="172">
      <x:c r="A172" s="219" t="n">
        <x:v>554000</x:v>
      </x:c>
      <x:c r="B172" s="219" t="n">
        <x:v>557000</x:v>
      </x:c>
      <x:c r="C172" s="225" t="n">
        <x:v>0</x:v>
      </x:c>
      <x:c r="D172" s="219" t="n">
        <x:v>554000</x:v>
      </x:c>
      <x:c r="E172" s="219" t="n">
        <x:v>173400</x:v>
      </x:c>
      <x:c r="F172" s="225" t="n">
        <x:v>0</x:v>
      </x:c>
      <x:c r="G172" s="219" t="n">
        <x:v>37120</x:v>
      </x:c>
      <x:c r="H172" s="219" t="n">
        <x:v>30660</x:v>
      </x:c>
      <x:c r="I172" s="219" t="n">
        <x:v>24200</x:v>
      </x:c>
      <x:c r="J172" s="219" t="n">
        <x:v>18760</x:v>
      </x:c>
      <x:c r="K172" s="219" t="n">
        <x:v>15520</x:v>
      </x:c>
      <x:c r="L172" s="219" t="n">
        <x:v>12290</x:v>
      </x:c>
      <x:c r="M172" s="219" t="n">
        <x:v>9060</x:v>
      </x:c>
      <x:c r="N172" s="219" t="n">
        <x:v>7060</x:v>
      </x:c>
    </x:row>
    <x:row r="173">
      <x:c r="A173" s="219" t="n">
        <x:v>557000</x:v>
      </x:c>
      <x:c r="B173" s="219" t="n">
        <x:v>560000</x:v>
      </x:c>
      <x:c r="C173" s="225" t="n">
        <x:v>0</x:v>
      </x:c>
      <x:c r="D173" s="219" t="n">
        <x:v>557000</x:v>
      </x:c>
      <x:c r="E173" s="219" t="n">
        <x:v>174900</x:v>
      </x:c>
      <x:c r="F173" s="225" t="n">
        <x:v>0</x:v>
      </x:c>
      <x:c r="G173" s="219" t="n">
        <x:v>37670</x:v>
      </x:c>
      <x:c r="H173" s="219" t="n">
        <x:v>31210</x:v>
      </x:c>
      <x:c r="I173" s="219" t="n">
        <x:v>24750</x:v>
      </x:c>
      <x:c r="J173" s="219" t="n">
        <x:v>19030</x:v>
      </x:c>
      <x:c r="K173" s="219" t="n">
        <x:v>15790</x:v>
      </x:c>
      <x:c r="L173" s="219" t="n">
        <x:v>12570</x:v>
      </x:c>
      <x:c r="M173" s="219" t="n">
        <x:v>9330</x:v>
      </x:c>
      <x:c r="N173" s="219" t="n">
        <x:v>7200</x:v>
      </x:c>
    </x:row>
    <x:row r="174">
      <x:c r="A174" s="219" t="n">
        <x:v>560000</x:v>
      </x:c>
      <x:c r="B174" s="219" t="n">
        <x:v>563000</x:v>
      </x:c>
      <x:c r="C174" s="225" t="n">
        <x:v>0</x:v>
      </x:c>
      <x:c r="D174" s="219" t="n">
        <x:v>560000</x:v>
      </x:c>
      <x:c r="E174" s="219" t="n">
        <x:v>176300</x:v>
      </x:c>
      <x:c r="F174" s="225" t="n">
        <x:v>0</x:v>
      </x:c>
      <x:c r="G174" s="219" t="n">
        <x:v>38230</x:v>
      </x:c>
      <x:c r="H174" s="219" t="n">
        <x:v>31760</x:v>
      </x:c>
      <x:c r="I174" s="219" t="n">
        <x:v>25300</x:v>
      </x:c>
      <x:c r="J174" s="219" t="n">
        <x:v>19310</x:v>
      </x:c>
      <x:c r="K174" s="219" t="n">
        <x:v>16070</x:v>
      </x:c>
      <x:c r="L174" s="219" t="n">
        <x:v>12840</x:v>
      </x:c>
      <x:c r="M174" s="219" t="n">
        <x:v>9610</x:v>
      </x:c>
      <x:c r="N174" s="219" t="n">
        <x:v>7330</x:v>
      </x:c>
    </x:row>
    <x:row r="175">
      <x:c r="A175" s="219" t="n">
        <x:v>563000</x:v>
      </x:c>
      <x:c r="B175" s="219" t="n">
        <x:v>566000</x:v>
      </x:c>
      <x:c r="C175" s="225" t="n">
        <x:v>0</x:v>
      </x:c>
      <x:c r="D175" s="219" t="n">
        <x:v>563000</x:v>
      </x:c>
      <x:c r="E175" s="219" t="n">
        <x:v>177900</x:v>
      </x:c>
      <x:c r="F175" s="225" t="n">
        <x:v>0</x:v>
      </x:c>
      <x:c r="G175" s="219" t="n">
        <x:v>38780</x:v>
      </x:c>
      <x:c r="H175" s="219" t="n">
        <x:v>32310</x:v>
      </x:c>
      <x:c r="I175" s="219" t="n">
        <x:v>25850</x:v>
      </x:c>
      <x:c r="J175" s="219" t="n">
        <x:v>19580</x:v>
      </x:c>
      <x:c r="K175" s="219" t="n">
        <x:v>16350</x:v>
      </x:c>
      <x:c r="L175" s="219" t="n">
        <x:v>13120</x:v>
      </x:c>
      <x:c r="M175" s="219" t="n">
        <x:v>9880</x:v>
      </x:c>
      <x:c r="N175" s="219" t="n">
        <x:v>7470</x:v>
      </x:c>
    </x:row>
    <x:row r="176">
      <x:c r="A176" s="219" t="n">
        <x:v>566000</x:v>
      </x:c>
      <x:c r="B176" s="219" t="n">
        <x:v>569000</x:v>
      </x:c>
      <x:c r="C176" s="225" t="n">
        <x:v>0</x:v>
      </x:c>
      <x:c r="D176" s="219" t="n">
        <x:v>566000</x:v>
      </x:c>
      <x:c r="E176" s="219" t="n">
        <x:v>179300</x:v>
      </x:c>
      <x:c r="F176" s="225" t="n">
        <x:v>0</x:v>
      </x:c>
      <x:c r="G176" s="219" t="n">
        <x:v>39330</x:v>
      </x:c>
      <x:c r="H176" s="219" t="n">
        <x:v>32870</x:v>
      </x:c>
      <x:c r="I176" s="219" t="n">
        <x:v>26400</x:v>
      </x:c>
      <x:c r="J176" s="219" t="n">
        <x:v>19930</x:v>
      </x:c>
      <x:c r="K176" s="219" t="n">
        <x:v>16620</x:v>
      </x:c>
      <x:c r="L176" s="219" t="n">
        <x:v>13400</x:v>
      </x:c>
      <x:c r="M176" s="219" t="n">
        <x:v>10160</x:v>
      </x:c>
      <x:c r="N176" s="219" t="n">
        <x:v>7610</x:v>
      </x:c>
    </x:row>
    <x:row r="177">
      <x:c r="A177" s="219" t="n">
        <x:v>569000</x:v>
      </x:c>
      <x:c r="B177" s="219" t="n">
        <x:v>572000</x:v>
      </x:c>
      <x:c r="C177" s="225" t="n">
        <x:v>0</x:v>
      </x:c>
      <x:c r="D177" s="219" t="n">
        <x:v>569000</x:v>
      </x:c>
      <x:c r="E177" s="219" t="n">
        <x:v>180700</x:v>
      </x:c>
      <x:c r="F177" s="225" t="n">
        <x:v>0</x:v>
      </x:c>
      <x:c r="G177" s="219" t="n">
        <x:v>39880</x:v>
      </x:c>
      <x:c r="H177" s="219" t="n">
        <x:v>33420</x:v>
      </x:c>
      <x:c r="I177" s="219" t="n">
        <x:v>26950</x:v>
      </x:c>
      <x:c r="J177" s="219" t="n">
        <x:v>20480</x:v>
      </x:c>
      <x:c r="K177" s="219" t="n">
        <x:v>16900</x:v>
      </x:c>
      <x:c r="L177" s="219" t="n">
        <x:v>13670</x:v>
      </x:c>
      <x:c r="M177" s="219" t="n">
        <x:v>10430</x:v>
      </x:c>
      <x:c r="N177" s="219" t="n">
        <x:v>7750</x:v>
      </x:c>
    </x:row>
    <x:row r="178">
      <x:c r="A178" s="219" t="n">
        <x:v>572000</x:v>
      </x:c>
      <x:c r="B178" s="219" t="n">
        <x:v>575000</x:v>
      </x:c>
      <x:c r="C178" s="225" t="n">
        <x:v>0</x:v>
      </x:c>
      <x:c r="D178" s="219" t="n">
        <x:v>572000</x:v>
      </x:c>
      <x:c r="E178" s="219" t="n">
        <x:v>182200</x:v>
      </x:c>
      <x:c r="F178" s="225" t="n">
        <x:v>0</x:v>
      </x:c>
      <x:c r="G178" s="219" t="n">
        <x:v>40430</x:v>
      </x:c>
      <x:c r="H178" s="219" t="n">
        <x:v>33970</x:v>
      </x:c>
      <x:c r="I178" s="219" t="n">
        <x:v>27510</x:v>
      </x:c>
      <x:c r="J178" s="219" t="n">
        <x:v>21030</x:v>
      </x:c>
      <x:c r="K178" s="219" t="n">
        <x:v>17170</x:v>
      </x:c>
      <x:c r="L178" s="219" t="n">
        <x:v>13950</x:v>
      </x:c>
      <x:c r="M178" s="219" t="n">
        <x:v>10710</x:v>
      </x:c>
      <x:c r="N178" s="219" t="n">
        <x:v>7880</x:v>
      </x:c>
    </x:row>
    <x:row r="179">
      <x:c r="A179" s="219" t="n">
        <x:v>575000</x:v>
      </x:c>
      <x:c r="B179" s="219" t="n">
        <x:v>578000</x:v>
      </x:c>
      <x:c r="C179" s="225" t="n">
        <x:v>0</x:v>
      </x:c>
      <x:c r="D179" s="219" t="n">
        <x:v>575000</x:v>
      </x:c>
      <x:c r="E179" s="219" t="n">
        <x:v>183700</x:v>
      </x:c>
      <x:c r="F179" s="225" t="n">
        <x:v>0</x:v>
      </x:c>
      <x:c r="G179" s="219" t="n">
        <x:v>40980</x:v>
      </x:c>
      <x:c r="H179" s="219" t="n">
        <x:v>34520</x:v>
      </x:c>
      <x:c r="I179" s="219" t="n">
        <x:v>28060</x:v>
      </x:c>
      <x:c r="J179" s="219" t="n">
        <x:v>21580</x:v>
      </x:c>
      <x:c r="K179" s="219" t="n">
        <x:v>17450</x:v>
      </x:c>
      <x:c r="L179" s="219" t="n">
        <x:v>14220</x:v>
      </x:c>
      <x:c r="M179" s="219" t="n">
        <x:v>10990</x:v>
      </x:c>
      <x:c r="N179" s="219" t="n">
        <x:v>8030</x:v>
      </x:c>
    </x:row>
    <x:row r="180">
      <x:c r="A180" s="219" t="n">
        <x:v>578000</x:v>
      </x:c>
      <x:c r="B180" s="219" t="n">
        <x:v>581000</x:v>
      </x:c>
      <x:c r="C180" s="225" t="n">
        <x:v>0</x:v>
      </x:c>
      <x:c r="D180" s="219" t="n">
        <x:v>578000</x:v>
      </x:c>
      <x:c r="E180" s="219" t="n">
        <x:v>185200</x:v>
      </x:c>
      <x:c r="F180" s="225" t="n">
        <x:v>0</x:v>
      </x:c>
      <x:c r="G180" s="219" t="n">
        <x:v>41530</x:v>
      </x:c>
      <x:c r="H180" s="219" t="n">
        <x:v>35070</x:v>
      </x:c>
      <x:c r="I180" s="219" t="n">
        <x:v>28610</x:v>
      </x:c>
      <x:c r="J180" s="219" t="n">
        <x:v>22140</x:v>
      </x:c>
      <x:c r="K180" s="219" t="n">
        <x:v>17720</x:v>
      </x:c>
      <x:c r="L180" s="219" t="n">
        <x:v>14500</x:v>
      </x:c>
      <x:c r="M180" s="219" t="n">
        <x:v>11260</x:v>
      </x:c>
      <x:c r="N180" s="219" t="n">
        <x:v>8160</x:v>
      </x:c>
    </x:row>
    <x:row r="181">
      <x:c r="A181" s="219" t="n">
        <x:v>581000</x:v>
      </x:c>
      <x:c r="B181" s="219" t="n">
        <x:v>584000</x:v>
      </x:c>
      <x:c r="C181" s="225" t="n">
        <x:v>0</x:v>
      </x:c>
      <x:c r="D181" s="219" t="n">
        <x:v>581000</x:v>
      </x:c>
      <x:c r="E181" s="219" t="n">
        <x:v>186600</x:v>
      </x:c>
      <x:c r="F181" s="225" t="n">
        <x:v>0</x:v>
      </x:c>
      <x:c r="G181" s="219" t="n">
        <x:v>42090</x:v>
      </x:c>
      <x:c r="H181" s="219" t="n">
        <x:v>35620</x:v>
      </x:c>
      <x:c r="I181" s="219" t="n">
        <x:v>29160</x:v>
      </x:c>
      <x:c r="J181" s="219" t="n">
        <x:v>22690</x:v>
      </x:c>
      <x:c r="K181" s="219" t="n">
        <x:v>18000</x:v>
      </x:c>
      <x:c r="L181" s="219" t="n">
        <x:v>14770</x:v>
      </x:c>
      <x:c r="M181" s="219" t="n">
        <x:v>11540</x:v>
      </x:c>
      <x:c r="N181" s="219" t="n">
        <x:v>8300</x:v>
      </x:c>
    </x:row>
    <x:row r="182">
      <x:c r="A182" s="219" t="n">
        <x:v>584000</x:v>
      </x:c>
      <x:c r="B182" s="219" t="n">
        <x:v>587000</x:v>
      </x:c>
      <x:c r="C182" s="225" t="n">
        <x:v>0</x:v>
      </x:c>
      <x:c r="D182" s="219" t="n">
        <x:v>584000</x:v>
      </x:c>
      <x:c r="E182" s="219" t="n">
        <x:v>188100</x:v>
      </x:c>
      <x:c r="F182" s="225" t="n">
        <x:v>0</x:v>
      </x:c>
      <x:c r="G182" s="219" t="n">
        <x:v>42640</x:v>
      </x:c>
      <x:c r="H182" s="219" t="n">
        <x:v>36170</x:v>
      </x:c>
      <x:c r="I182" s="219" t="n">
        <x:v>29710</x:v>
      </x:c>
      <x:c r="J182" s="219" t="n">
        <x:v>23240</x:v>
      </x:c>
      <x:c r="K182" s="219" t="n">
        <x:v>18280</x:v>
      </x:c>
      <x:c r="L182" s="219" t="n">
        <x:v>15050</x:v>
      </x:c>
      <x:c r="M182" s="219" t="n">
        <x:v>11810</x:v>
      </x:c>
      <x:c r="N182" s="219" t="n">
        <x:v>8580</x:v>
      </x:c>
    </x:row>
    <x:row r="183">
      <x:c r="A183" s="219" t="n">
        <x:v>587000</x:v>
      </x:c>
      <x:c r="B183" s="219" t="n">
        <x:v>590000</x:v>
      </x:c>
      <x:c r="C183" s="225" t="n">
        <x:v>0</x:v>
      </x:c>
      <x:c r="D183" s="219" t="n">
        <x:v>587000</x:v>
      </x:c>
      <x:c r="E183" s="219" t="n">
        <x:v>189600</x:v>
      </x:c>
      <x:c r="F183" s="225" t="n">
        <x:v>0</x:v>
      </x:c>
      <x:c r="G183" s="219" t="n">
        <x:v>43190</x:v>
      </x:c>
      <x:c r="H183" s="219" t="n">
        <x:v>36730</x:v>
      </x:c>
      <x:c r="I183" s="219" t="n">
        <x:v>30260</x:v>
      </x:c>
      <x:c r="J183" s="219" t="n">
        <x:v>23790</x:v>
      </x:c>
      <x:c r="K183" s="219" t="n">
        <x:v>18550</x:v>
      </x:c>
      <x:c r="L183" s="219" t="n">
        <x:v>15330</x:v>
      </x:c>
      <x:c r="M183" s="219" t="n">
        <x:v>12090</x:v>
      </x:c>
      <x:c r="N183" s="219" t="n">
        <x:v>8850</x:v>
      </x:c>
    </x:row>
    <x:row r="184">
      <x:c r="A184" s="219" t="n">
        <x:v>590000</x:v>
      </x:c>
      <x:c r="B184" s="219" t="n">
        <x:v>593000</x:v>
      </x:c>
      <x:c r="C184" s="225" t="n">
        <x:v>0</x:v>
      </x:c>
      <x:c r="D184" s="219" t="n">
        <x:v>590000</x:v>
      </x:c>
      <x:c r="E184" s="219" t="n">
        <x:v>191000</x:v>
      </x:c>
      <x:c r="F184" s="225" t="n">
        <x:v>0</x:v>
      </x:c>
      <x:c r="G184" s="219" t="n">
        <x:v>43740</x:v>
      </x:c>
      <x:c r="H184" s="219" t="n">
        <x:v>37280</x:v>
      </x:c>
      <x:c r="I184" s="219" t="n">
        <x:v>30810</x:v>
      </x:c>
      <x:c r="J184" s="219" t="n">
        <x:v>24340</x:v>
      </x:c>
      <x:c r="K184" s="219" t="n">
        <x:v>18830</x:v>
      </x:c>
      <x:c r="L184" s="219" t="n">
        <x:v>15600</x:v>
      </x:c>
      <x:c r="M184" s="219" t="n">
        <x:v>12360</x:v>
      </x:c>
      <x:c r="N184" s="219" t="n">
        <x:v>9130</x:v>
      </x:c>
    </x:row>
    <x:row r="185">
      <x:c r="A185" s="219" t="n">
        <x:v>593000</x:v>
      </x:c>
      <x:c r="B185" s="219" t="n">
        <x:v>596000</x:v>
      </x:c>
      <x:c r="C185" s="225" t="n">
        <x:v>0</x:v>
      </x:c>
      <x:c r="D185" s="219" t="n">
        <x:v>593000</x:v>
      </x:c>
      <x:c r="E185" s="219" t="n">
        <x:v>192600</x:v>
      </x:c>
      <x:c r="F185" s="225" t="n">
        <x:v>0</x:v>
      </x:c>
      <x:c r="G185" s="219" t="n">
        <x:v>44290</x:v>
      </x:c>
      <x:c r="H185" s="219" t="n">
        <x:v>37830</x:v>
      </x:c>
      <x:c r="I185" s="219" t="n">
        <x:v>31370</x:v>
      </x:c>
      <x:c r="J185" s="219" t="n">
        <x:v>24890</x:v>
      </x:c>
      <x:c r="K185" s="219" t="n">
        <x:v>19100</x:v>
      </x:c>
      <x:c r="L185" s="219" t="n">
        <x:v>15880</x:v>
      </x:c>
      <x:c r="M185" s="219" t="n">
        <x:v>12640</x:v>
      </x:c>
      <x:c r="N185" s="219" t="n">
        <x:v>9400</x:v>
      </x:c>
    </x:row>
    <x:row r="186">
      <x:c r="A186" s="219" t="n">
        <x:v>596000</x:v>
      </x:c>
      <x:c r="B186" s="219" t="n">
        <x:v>599000</x:v>
      </x:c>
      <x:c r="C186" s="225" t="n">
        <x:v>0</x:v>
      </x:c>
      <x:c r="D186" s="219" t="n">
        <x:v>596000</x:v>
      </x:c>
      <x:c r="E186" s="219" t="n">
        <x:v>194000</x:v>
      </x:c>
      <x:c r="F186" s="225" t="n">
        <x:v>0</x:v>
      </x:c>
      <x:c r="G186" s="219" t="n">
        <x:v>44840</x:v>
      </x:c>
      <x:c r="H186" s="219" t="n">
        <x:v>38380</x:v>
      </x:c>
      <x:c r="I186" s="219" t="n">
        <x:v>31920</x:v>
      </x:c>
      <x:c r="J186" s="219" t="n">
        <x:v>25440</x:v>
      </x:c>
      <x:c r="K186" s="219" t="n">
        <x:v>19380</x:v>
      </x:c>
      <x:c r="L186" s="219" t="n">
        <x:v>16150</x:v>
      </x:c>
      <x:c r="M186" s="219" t="n">
        <x:v>12920</x:v>
      </x:c>
      <x:c r="N186" s="219" t="n">
        <x:v>9680</x:v>
      </x:c>
    </x:row>
    <x:row r="187">
      <x:c r="A187" s="219" t="n">
        <x:v>599000</x:v>
      </x:c>
      <x:c r="B187" s="219" t="n">
        <x:v>602000</x:v>
      </x:c>
      <x:c r="C187" s="225" t="n">
        <x:v>0</x:v>
      </x:c>
      <x:c r="D187" s="219" t="n">
        <x:v>599000</x:v>
      </x:c>
      <x:c r="E187" s="219" t="n">
        <x:v>195400</x:v>
      </x:c>
      <x:c r="F187" s="225" t="n">
        <x:v>0</x:v>
      </x:c>
      <x:c r="G187" s="219" t="n">
        <x:v>45390</x:v>
      </x:c>
      <x:c r="H187" s="219" t="n">
        <x:v>38930</x:v>
      </x:c>
      <x:c r="I187" s="219" t="n">
        <x:v>32470</x:v>
      </x:c>
      <x:c r="J187" s="219" t="n">
        <x:v>25990</x:v>
      </x:c>
      <x:c r="K187" s="219" t="n">
        <x:v>19650</x:v>
      </x:c>
      <x:c r="L187" s="219" t="n">
        <x:v>16430</x:v>
      </x:c>
      <x:c r="M187" s="219" t="n">
        <x:v>13190</x:v>
      </x:c>
      <x:c r="N187" s="219" t="n">
        <x:v>9950</x:v>
      </x:c>
    </x:row>
    <x:row r="188">
      <x:c r="A188" s="219" t="n">
        <x:v>602000</x:v>
      </x:c>
      <x:c r="B188" s="219" t="n">
        <x:v>605000</x:v>
      </x:c>
      <x:c r="C188" s="225" t="n">
        <x:v>0</x:v>
      </x:c>
      <x:c r="D188" s="219" t="n">
        <x:v>602000</x:v>
      </x:c>
      <x:c r="E188" s="219" t="n">
        <x:v>197000</x:v>
      </x:c>
      <x:c r="F188" s="225" t="n">
        <x:v>0</x:v>
      </x:c>
      <x:c r="G188" s="219" t="n">
        <x:v>45950</x:v>
      </x:c>
      <x:c r="H188" s="219" t="n">
        <x:v>39480</x:v>
      </x:c>
      <x:c r="I188" s="219" t="n">
        <x:v>33020</x:v>
      </x:c>
      <x:c r="J188" s="219" t="n">
        <x:v>26550</x:v>
      </x:c>
      <x:c r="K188" s="219" t="n">
        <x:v>20080</x:v>
      </x:c>
      <x:c r="L188" s="219" t="n">
        <x:v>16700</x:v>
      </x:c>
      <x:c r="M188" s="219" t="n">
        <x:v>13470</x:v>
      </x:c>
      <x:c r="N188" s="219" t="n">
        <x:v>10230</x:v>
      </x:c>
    </x:row>
    <x:row r="189">
      <x:c r="A189" s="219" t="n">
        <x:v>605000</x:v>
      </x:c>
      <x:c r="B189" s="219" t="n">
        <x:v>608000</x:v>
      </x:c>
      <x:c r="C189" s="225" t="n">
        <x:v>0</x:v>
      </x:c>
      <x:c r="D189" s="219" t="n">
        <x:v>605000</x:v>
      </x:c>
      <x:c r="E189" s="219" t="n">
        <x:v>198400</x:v>
      </x:c>
      <x:c r="F189" s="225" t="n">
        <x:v>0</x:v>
      </x:c>
      <x:c r="G189" s="219" t="n">
        <x:v>46500</x:v>
      </x:c>
      <x:c r="H189" s="219" t="n">
        <x:v>40030</x:v>
      </x:c>
      <x:c r="I189" s="219" t="n">
        <x:v>33570</x:v>
      </x:c>
      <x:c r="J189" s="219" t="n">
        <x:v>27100</x:v>
      </x:c>
      <x:c r="K189" s="219" t="n">
        <x:v>20630</x:v>
      </x:c>
      <x:c r="L189" s="219" t="n">
        <x:v>16980</x:v>
      </x:c>
      <x:c r="M189" s="219" t="n">
        <x:v>13740</x:v>
      </x:c>
      <x:c r="N189" s="219" t="n">
        <x:v>10510</x:v>
      </x:c>
    </x:row>
    <x:row r="190">
      <x:c r="A190" s="219" t="n">
        <x:v>608000</x:v>
      </x:c>
      <x:c r="B190" s="219" t="n">
        <x:v>611000</x:v>
      </x:c>
      <x:c r="C190" s="225" t="n">
        <x:v>0</x:v>
      </x:c>
      <x:c r="D190" s="219" t="n">
        <x:v>608000</x:v>
      </x:c>
      <x:c r="E190" s="219" t="n">
        <x:v>199900</x:v>
      </x:c>
      <x:c r="F190" s="225" t="n">
        <x:v>0</x:v>
      </x:c>
      <x:c r="G190" s="219" t="n">
        <x:v>47050</x:v>
      </x:c>
      <x:c r="H190" s="219" t="n">
        <x:v>40580</x:v>
      </x:c>
      <x:c r="I190" s="219" t="n">
        <x:v>34120</x:v>
      </x:c>
      <x:c r="J190" s="219" t="n">
        <x:v>27650</x:v>
      </x:c>
      <x:c r="K190" s="219" t="n">
        <x:v>21190</x:v>
      </x:c>
      <x:c r="L190" s="219" t="n">
        <x:v>17250</x:v>
      </x:c>
      <x:c r="M190" s="219" t="n">
        <x:v>14020</x:v>
      </x:c>
      <x:c r="N190" s="219" t="n">
        <x:v>10780</x:v>
      </x:c>
    </x:row>
    <x:row r="191">
      <x:c r="A191" s="219" t="n">
        <x:v>611000</x:v>
      </x:c>
      <x:c r="B191" s="219" t="n">
        <x:v>614000</x:v>
      </x:c>
      <x:c r="C191" s="225" t="n">
        <x:v>0</x:v>
      </x:c>
      <x:c r="D191" s="219" t="n">
        <x:v>611000</x:v>
      </x:c>
      <x:c r="E191" s="219" t="n">
        <x:v>201300</x:v>
      </x:c>
      <x:c r="F191" s="225" t="n">
        <x:v>0</x:v>
      </x:c>
      <x:c r="G191" s="219" t="n">
        <x:v>47600</x:v>
      </x:c>
      <x:c r="H191" s="219" t="n">
        <x:v>41140</x:v>
      </x:c>
      <x:c r="I191" s="219" t="n">
        <x:v>34670</x:v>
      </x:c>
      <x:c r="J191" s="219" t="n">
        <x:v>28200</x:v>
      </x:c>
      <x:c r="K191" s="219" t="n">
        <x:v>21740</x:v>
      </x:c>
      <x:c r="L191" s="219" t="n">
        <x:v>17530</x:v>
      </x:c>
      <x:c r="M191" s="219" t="n">
        <x:v>14290</x:v>
      </x:c>
      <x:c r="N191" s="219" t="n">
        <x:v>11060</x:v>
      </x:c>
    </x:row>
    <x:row r="192">
      <x:c r="A192" s="219" t="n">
        <x:v>614000</x:v>
      </x:c>
      <x:c r="B192" s="219" t="n">
        <x:v>617000</x:v>
      </x:c>
      <x:c r="C192" s="225" t="n">
        <x:v>0</x:v>
      </x:c>
      <x:c r="D192" s="219" t="n">
        <x:v>614000</x:v>
      </x:c>
      <x:c r="E192" s="219" t="n">
        <x:v>202800</x:v>
      </x:c>
      <x:c r="F192" s="225" t="n">
        <x:v>0</x:v>
      </x:c>
      <x:c r="G192" s="219" t="n">
        <x:v>48150</x:v>
      </x:c>
      <x:c r="H192" s="219" t="n">
        <x:v>41690</x:v>
      </x:c>
      <x:c r="I192" s="219" t="n">
        <x:v>35220</x:v>
      </x:c>
      <x:c r="J192" s="219" t="n">
        <x:v>28750</x:v>
      </x:c>
      <x:c r="K192" s="219" t="n">
        <x:v>22290</x:v>
      </x:c>
      <x:c r="L192" s="219" t="n">
        <x:v>17810</x:v>
      </x:c>
      <x:c r="M192" s="219" t="n">
        <x:v>14570</x:v>
      </x:c>
      <x:c r="N192" s="219" t="n">
        <x:v>11330</x:v>
      </x:c>
    </x:row>
    <x:row r="193">
      <x:c r="A193" s="219" t="n">
        <x:v>617000</x:v>
      </x:c>
      <x:c r="B193" s="219" t="n">
        <x:v>620000</x:v>
      </x:c>
      <x:c r="C193" s="225" t="n">
        <x:v>0</x:v>
      </x:c>
      <x:c r="D193" s="219" t="n">
        <x:v>617000</x:v>
      </x:c>
      <x:c r="E193" s="219" t="n">
        <x:v>204300</x:v>
      </x:c>
      <x:c r="F193" s="225" t="n">
        <x:v>0</x:v>
      </x:c>
      <x:c r="G193" s="219" t="n">
        <x:v>48700</x:v>
      </x:c>
      <x:c r="H193" s="219" t="n">
        <x:v>42240</x:v>
      </x:c>
      <x:c r="I193" s="219" t="n">
        <x:v>35780</x:v>
      </x:c>
      <x:c r="J193" s="219" t="n">
        <x:v>29300</x:v>
      </x:c>
      <x:c r="K193" s="219" t="n">
        <x:v>22840</x:v>
      </x:c>
      <x:c r="L193" s="219" t="n">
        <x:v>18080</x:v>
      </x:c>
      <x:c r="M193" s="219" t="n">
        <x:v>14850</x:v>
      </x:c>
      <x:c r="N193" s="219" t="n">
        <x:v>11610</x:v>
      </x:c>
    </x:row>
    <x:row r="194">
      <x:c r="A194" s="219" t="n">
        <x:v>620000</x:v>
      </x:c>
      <x:c r="B194" s="219" t="n">
        <x:v>623000</x:v>
      </x:c>
      <x:c r="C194" s="225" t="n">
        <x:v>0</x:v>
      </x:c>
      <x:c r="D194" s="219" t="n">
        <x:v>620000</x:v>
      </x:c>
      <x:c r="E194" s="219" t="n">
        <x:v>205700</x:v>
      </x:c>
      <x:c r="F194" s="225" t="n">
        <x:v>0</x:v>
      </x:c>
      <x:c r="G194" s="219" t="n">
        <x:v>49250</x:v>
      </x:c>
      <x:c r="H194" s="219" t="n">
        <x:v>42790</x:v>
      </x:c>
      <x:c r="I194" s="219" t="n">
        <x:v>36330</x:v>
      </x:c>
      <x:c r="J194" s="219" t="n">
        <x:v>29850</x:v>
      </x:c>
      <x:c r="K194" s="219" t="n">
        <x:v>23390</x:v>
      </x:c>
      <x:c r="L194" s="219" t="n">
        <x:v>18360</x:v>
      </x:c>
      <x:c r="M194" s="219" t="n">
        <x:v>15120</x:v>
      </x:c>
      <x:c r="N194" s="219" t="n">
        <x:v>11880</x:v>
      </x:c>
    </x:row>
    <x:row r="195">
      <x:c r="A195" s="219" t="n">
        <x:v>623000</x:v>
      </x:c>
      <x:c r="B195" s="219" t="n">
        <x:v>626000</x:v>
      </x:c>
      <x:c r="C195" s="225" t="n">
        <x:v>0</x:v>
      </x:c>
      <x:c r="D195" s="219" t="n">
        <x:v>623000</x:v>
      </x:c>
      <x:c r="E195" s="219" t="n">
        <x:v>207300</x:v>
      </x:c>
      <x:c r="F195" s="225" t="n">
        <x:v>0</x:v>
      </x:c>
      <x:c r="G195" s="219" t="n">
        <x:v>49800</x:v>
      </x:c>
      <x:c r="H195" s="219" t="n">
        <x:v>43340</x:v>
      </x:c>
      <x:c r="I195" s="219" t="n">
        <x:v>36880</x:v>
      </x:c>
      <x:c r="J195" s="219" t="n">
        <x:v>30410</x:v>
      </x:c>
      <x:c r="K195" s="219" t="n">
        <x:v>23940</x:v>
      </x:c>
      <x:c r="L195" s="219" t="n">
        <x:v>18630</x:v>
      </x:c>
      <x:c r="M195" s="219" t="n">
        <x:v>15400</x:v>
      </x:c>
      <x:c r="N195" s="219" t="n">
        <x:v>12160</x:v>
      </x:c>
    </x:row>
    <x:row r="196">
      <x:c r="A196" s="219" t="n">
        <x:v>626000</x:v>
      </x:c>
      <x:c r="B196" s="219" t="n">
        <x:v>629000</x:v>
      </x:c>
      <x:c r="C196" s="225" t="n">
        <x:v>0</x:v>
      </x:c>
      <x:c r="D196" s="219" t="n">
        <x:v>626000</x:v>
      </x:c>
      <x:c r="E196" s="219" t="n">
        <x:v>208700</x:v>
      </x:c>
      <x:c r="F196" s="225" t="n">
        <x:v>0</x:v>
      </x:c>
      <x:c r="G196" s="219" t="n">
        <x:v>50360</x:v>
      </x:c>
      <x:c r="H196" s="219" t="n">
        <x:v>43890</x:v>
      </x:c>
      <x:c r="I196" s="219" t="n">
        <x:v>37430</x:v>
      </x:c>
      <x:c r="J196" s="219" t="n">
        <x:v>30960</x:v>
      </x:c>
      <x:c r="K196" s="219" t="n">
        <x:v>24490</x:v>
      </x:c>
      <x:c r="L196" s="219" t="n">
        <x:v>18910</x:v>
      </x:c>
      <x:c r="M196" s="219" t="n">
        <x:v>15670</x:v>
      </x:c>
      <x:c r="N196" s="219" t="n">
        <x:v>12440</x:v>
      </x:c>
    </x:row>
    <x:row r="197">
      <x:c r="A197" s="219" t="n">
        <x:v>629000</x:v>
      </x:c>
      <x:c r="B197" s="219" t="n">
        <x:v>632000</x:v>
      </x:c>
      <x:c r="C197" s="225" t="n">
        <x:v>0</x:v>
      </x:c>
      <x:c r="D197" s="219" t="n">
        <x:v>629000</x:v>
      </x:c>
      <x:c r="E197" s="219" t="n">
        <x:v>210100</x:v>
      </x:c>
      <x:c r="F197" s="225" t="n">
        <x:v>0</x:v>
      </x:c>
      <x:c r="G197" s="219" t="n">
        <x:v>50910</x:v>
      </x:c>
      <x:c r="H197" s="219" t="n">
        <x:v>44440</x:v>
      </x:c>
      <x:c r="I197" s="219" t="n">
        <x:v>37980</x:v>
      </x:c>
      <x:c r="J197" s="219" t="n">
        <x:v>31510</x:v>
      </x:c>
      <x:c r="K197" s="219" t="n">
        <x:v>25050</x:v>
      </x:c>
      <x:c r="L197" s="219" t="n">
        <x:v>19180</x:v>
      </x:c>
      <x:c r="M197" s="219" t="n">
        <x:v>15950</x:v>
      </x:c>
      <x:c r="N197" s="219" t="n">
        <x:v>12710</x:v>
      </x:c>
    </x:row>
    <x:row r="198">
      <x:c r="A198" s="219" t="n">
        <x:v>632000</x:v>
      </x:c>
      <x:c r="B198" s="219" t="n">
        <x:v>635000</x:v>
      </x:c>
      <x:c r="C198" s="225" t="n">
        <x:v>0</x:v>
      </x:c>
      <x:c r="D198" s="219" t="n">
        <x:v>632000</x:v>
      </x:c>
      <x:c r="E198" s="219" t="n">
        <x:v>211700</x:v>
      </x:c>
      <x:c r="F198" s="225" t="n">
        <x:v>0</x:v>
      </x:c>
      <x:c r="G198" s="219" t="n">
        <x:v>51460</x:v>
      </x:c>
      <x:c r="H198" s="219" t="n">
        <x:v>45000</x:v>
      </x:c>
      <x:c r="I198" s="219" t="n">
        <x:v>38530</x:v>
      </x:c>
      <x:c r="J198" s="219" t="n">
        <x:v>32060</x:v>
      </x:c>
      <x:c r="K198" s="219" t="n">
        <x:v>25600</x:v>
      </x:c>
      <x:c r="L198" s="219" t="n">
        <x:v>19460</x:v>
      </x:c>
      <x:c r="M198" s="219" t="n">
        <x:v>16220</x:v>
      </x:c>
      <x:c r="N198" s="219" t="n">
        <x:v>12990</x:v>
      </x:c>
    </x:row>
    <x:row r="199">
      <x:c r="A199" s="219" t="n">
        <x:v>635000</x:v>
      </x:c>
      <x:c r="B199" s="219" t="n">
        <x:v>638000</x:v>
      </x:c>
      <x:c r="C199" s="225" t="n">
        <x:v>0</x:v>
      </x:c>
      <x:c r="D199" s="219" t="n">
        <x:v>635000</x:v>
      </x:c>
      <x:c r="E199" s="219" t="n">
        <x:v>213100</x:v>
      </x:c>
      <x:c r="F199" s="225" t="n">
        <x:v>0</x:v>
      </x:c>
      <x:c r="G199" s="219" t="n">
        <x:v>52010</x:v>
      </x:c>
      <x:c r="H199" s="219" t="n">
        <x:v>45550</x:v>
      </x:c>
      <x:c r="I199" s="219" t="n">
        <x:v>39080</x:v>
      </x:c>
      <x:c r="J199" s="219" t="n">
        <x:v>32610</x:v>
      </x:c>
      <x:c r="K199" s="219" t="n">
        <x:v>26150</x:v>
      </x:c>
      <x:c r="L199" s="219" t="n">
        <x:v>19740</x:v>
      </x:c>
      <x:c r="M199" s="219" t="n">
        <x:v>16500</x:v>
      </x:c>
      <x:c r="N199" s="219" t="n">
        <x:v>13260</x:v>
      </x:c>
    </x:row>
    <x:row r="200">
      <x:c r="A200" s="219" t="n">
        <x:v>638000</x:v>
      </x:c>
      <x:c r="B200" s="219" t="n">
        <x:v>641000</x:v>
      </x:c>
      <x:c r="C200" s="225" t="n">
        <x:v>0</x:v>
      </x:c>
      <x:c r="D200" s="219" t="n">
        <x:v>638000</x:v>
      </x:c>
      <x:c r="E200" s="219" t="n">
        <x:v>214600</x:v>
      </x:c>
      <x:c r="F200" s="225" t="n">
        <x:v>0</x:v>
      </x:c>
      <x:c r="G200" s="219" t="n">
        <x:v>52560</x:v>
      </x:c>
      <x:c r="H200" s="219" t="n">
        <x:v>46100</x:v>
      </x:c>
      <x:c r="I200" s="219" t="n">
        <x:v>39640</x:v>
      </x:c>
      <x:c r="J200" s="219" t="n">
        <x:v>33160</x:v>
      </x:c>
      <x:c r="K200" s="219" t="n">
        <x:v>26700</x:v>
      </x:c>
      <x:c r="L200" s="219" t="n">
        <x:v>20240</x:v>
      </x:c>
      <x:c r="M200" s="219" t="n">
        <x:v>16780</x:v>
      </x:c>
      <x:c r="N200" s="219" t="n">
        <x:v>13540</x:v>
      </x:c>
    </x:row>
    <x:row r="201">
      <x:c r="A201" s="219" t="n">
        <x:v>641000</x:v>
      </x:c>
      <x:c r="B201" s="219" t="n">
        <x:v>644000</x:v>
      </x:c>
      <x:c r="C201" s="225" t="n">
        <x:v>0</x:v>
      </x:c>
      <x:c r="D201" s="219" t="n">
        <x:v>641000</x:v>
      </x:c>
      <x:c r="E201" s="219" t="n">
        <x:v>215900</x:v>
      </x:c>
      <x:c r="F201" s="225" t="n">
        <x:v>0</x:v>
      </x:c>
      <x:c r="G201" s="219" t="n">
        <x:v>53110</x:v>
      </x:c>
      <x:c r="H201" s="219" t="n">
        <x:v>46650</x:v>
      </x:c>
      <x:c r="I201" s="219" t="n">
        <x:v>40190</x:v>
      </x:c>
      <x:c r="J201" s="219" t="n">
        <x:v>33710</x:v>
      </x:c>
      <x:c r="K201" s="219" t="n">
        <x:v>27250</x:v>
      </x:c>
      <x:c r="L201" s="219" t="n">
        <x:v>20790</x:v>
      </x:c>
      <x:c r="M201" s="219" t="n">
        <x:v>17050</x:v>
      </x:c>
      <x:c r="N201" s="219" t="n">
        <x:v>13810</x:v>
      </x:c>
    </x:row>
    <x:row r="202">
      <x:c r="A202" s="219" t="n">
        <x:v>644000</x:v>
      </x:c>
      <x:c r="B202" s="219" t="n">
        <x:v>647000</x:v>
      </x:c>
      <x:c r="C202" s="225" t="n">
        <x:v>0</x:v>
      </x:c>
      <x:c r="D202" s="219" t="n">
        <x:v>644000</x:v>
      </x:c>
      <x:c r="E202" s="219" t="n">
        <x:v>217000</x:v>
      </x:c>
      <x:c r="F202" s="225" t="n">
        <x:v>0</x:v>
      </x:c>
      <x:c r="G202" s="219" t="n">
        <x:v>53660</x:v>
      </x:c>
      <x:c r="H202" s="219" t="n">
        <x:v>47200</x:v>
      </x:c>
      <x:c r="I202" s="219" t="n">
        <x:v>40740</x:v>
      </x:c>
      <x:c r="J202" s="219" t="n">
        <x:v>34260</x:v>
      </x:c>
      <x:c r="K202" s="219" t="n">
        <x:v>27800</x:v>
      </x:c>
      <x:c r="L202" s="219" t="n">
        <x:v>21340</x:v>
      </x:c>
      <x:c r="M202" s="219" t="n">
        <x:v>17330</x:v>
      </x:c>
      <x:c r="N202" s="219" t="n">
        <x:v>14090</x:v>
      </x:c>
    </x:row>
    <x:row r="203">
      <x:c r="A203" s="219" t="n">
        <x:v>647000</x:v>
      </x:c>
      <x:c r="B203" s="219" t="n">
        <x:v>650000</x:v>
      </x:c>
      <x:c r="C203" s="225" t="n">
        <x:v>0</x:v>
      </x:c>
      <x:c r="D203" s="219" t="n">
        <x:v>647000</x:v>
      </x:c>
      <x:c r="E203" s="219" t="n">
        <x:v>218000</x:v>
      </x:c>
      <x:c r="F203" s="225" t="n">
        <x:v>0</x:v>
      </x:c>
      <x:c r="G203" s="219" t="n">
        <x:v>54220</x:v>
      </x:c>
      <x:c r="H203" s="219" t="n">
        <x:v>47750</x:v>
      </x:c>
      <x:c r="I203" s="219" t="n">
        <x:v>41290</x:v>
      </x:c>
      <x:c r="J203" s="219" t="n">
        <x:v>34820</x:v>
      </x:c>
      <x:c r="K203" s="219" t="n">
        <x:v>28350</x:v>
      </x:c>
      <x:c r="L203" s="219" t="n">
        <x:v>21890</x:v>
      </x:c>
      <x:c r="M203" s="219" t="n">
        <x:v>17600</x:v>
      </x:c>
      <x:c r="N203" s="219" t="n">
        <x:v>14370</x:v>
      </x:c>
    </x:row>
    <x:row r="204">
      <x:c r="A204" s="219" t="n">
        <x:v>650000</x:v>
      </x:c>
      <x:c r="B204" s="219" t="n">
        <x:v>653000</x:v>
      </x:c>
      <x:c r="C204" s="225" t="n">
        <x:v>0</x:v>
      </x:c>
      <x:c r="D204" s="219" t="n">
        <x:v>650000</x:v>
      </x:c>
      <x:c r="E204" s="219" t="n">
        <x:v>219000</x:v>
      </x:c>
      <x:c r="F204" s="225" t="n">
        <x:v>0</x:v>
      </x:c>
      <x:c r="G204" s="219" t="n">
        <x:v>54770</x:v>
      </x:c>
      <x:c r="H204" s="219" t="n">
        <x:v>48300</x:v>
      </x:c>
      <x:c r="I204" s="219" t="n">
        <x:v>41840</x:v>
      </x:c>
      <x:c r="J204" s="219" t="n">
        <x:v>35370</x:v>
      </x:c>
      <x:c r="K204" s="219" t="n">
        <x:v>28900</x:v>
      </x:c>
      <x:c r="L204" s="219" t="n">
        <x:v>22440</x:v>
      </x:c>
      <x:c r="M204" s="219" t="n">
        <x:v>17880</x:v>
      </x:c>
      <x:c r="N204" s="219" t="n">
        <x:v>14640</x:v>
      </x:c>
    </x:row>
    <x:row r="205">
      <x:c r="A205" s="219" t="n">
        <x:v>653000</x:v>
      </x:c>
      <x:c r="B205" s="219" t="n">
        <x:v>656000</x:v>
      </x:c>
      <x:c r="C205" s="225" t="n">
        <x:v>0</x:v>
      </x:c>
      <x:c r="D205" s="219" t="n">
        <x:v>653000</x:v>
      </x:c>
      <x:c r="E205" s="219" t="n">
        <x:v>220000</x:v>
      </x:c>
      <x:c r="F205" s="225" t="n">
        <x:v>0</x:v>
      </x:c>
      <x:c r="G205" s="219" t="n">
        <x:v>55320</x:v>
      </x:c>
      <x:c r="H205" s="219" t="n">
        <x:v>48850</x:v>
      </x:c>
      <x:c r="I205" s="219" t="n">
        <x:v>42390</x:v>
      </x:c>
      <x:c r="J205" s="219" t="n">
        <x:v>35920</x:v>
      </x:c>
      <x:c r="K205" s="219" t="n">
        <x:v>29460</x:v>
      </x:c>
      <x:c r="L205" s="219" t="n">
        <x:v>22990</x:v>
      </x:c>
      <x:c r="M205" s="219" t="n">
        <x:v>18150</x:v>
      </x:c>
      <x:c r="N205" s="219" t="n">
        <x:v>14920</x:v>
      </x:c>
    </x:row>
    <x:row r="206">
      <x:c r="A206" s="219" t="n">
        <x:v>656000</x:v>
      </x:c>
      <x:c r="B206" s="219" t="n">
        <x:v>659000</x:v>
      </x:c>
      <x:c r="C206" s="225" t="n">
        <x:v>0</x:v>
      </x:c>
      <x:c r="D206" s="219" t="n">
        <x:v>656000</x:v>
      </x:c>
      <x:c r="E206" s="219" t="n">
        <x:v>221000</x:v>
      </x:c>
      <x:c r="F206" s="225" t="n">
        <x:v>0</x:v>
      </x:c>
      <x:c r="G206" s="219" t="n">
        <x:v>55870</x:v>
      </x:c>
      <x:c r="H206" s="219" t="n">
        <x:v>49410</x:v>
      </x:c>
      <x:c r="I206" s="219" t="n">
        <x:v>42940</x:v>
      </x:c>
      <x:c r="J206" s="219" t="n">
        <x:v>36470</x:v>
      </x:c>
      <x:c r="K206" s="219" t="n">
        <x:v>30010</x:v>
      </x:c>
      <x:c r="L206" s="219" t="n">
        <x:v>23540</x:v>
      </x:c>
      <x:c r="M206" s="219" t="n">
        <x:v>18430</x:v>
      </x:c>
      <x:c r="N206" s="219" t="n">
        <x:v>15190</x:v>
      </x:c>
    </x:row>
    <x:row r="207">
      <x:c r="A207" s="219" t="n">
        <x:v>659000</x:v>
      </x:c>
      <x:c r="B207" s="219" t="n">
        <x:v>662000</x:v>
      </x:c>
      <x:c r="C207" s="225" t="n">
        <x:v>0</x:v>
      </x:c>
      <x:c r="D207" s="219" t="n">
        <x:v>659000</x:v>
      </x:c>
      <x:c r="E207" s="219" t="n">
        <x:v>222100</x:v>
      </x:c>
      <x:c r="F207" s="225" t="n">
        <x:v>0</x:v>
      </x:c>
      <x:c r="G207" s="219" t="n">
        <x:v>56420</x:v>
      </x:c>
      <x:c r="H207" s="219" t="n">
        <x:v>49960</x:v>
      </x:c>
      <x:c r="I207" s="219" t="n">
        <x:v>43490</x:v>
      </x:c>
      <x:c r="J207" s="219" t="n">
        <x:v>37020</x:v>
      </x:c>
      <x:c r="K207" s="219" t="n">
        <x:v>30560</x:v>
      </x:c>
      <x:c r="L207" s="219" t="n">
        <x:v>24100</x:v>
      </x:c>
      <x:c r="M207" s="219" t="n">
        <x:v>18700</x:v>
      </x:c>
      <x:c r="N207" s="219" t="n">
        <x:v>15470</x:v>
      </x:c>
    </x:row>
    <x:row r="208">
      <x:c r="A208" s="219" t="n">
        <x:v>662000</x:v>
      </x:c>
      <x:c r="B208" s="219" t="n">
        <x:v>665000</x:v>
      </x:c>
      <x:c r="C208" s="225" t="n">
        <x:v>0</x:v>
      </x:c>
      <x:c r="D208" s="219" t="n">
        <x:v>662000</x:v>
      </x:c>
      <x:c r="E208" s="219" t="n">
        <x:v>223100</x:v>
      </x:c>
      <x:c r="F208" s="225" t="n">
        <x:v>0</x:v>
      </x:c>
      <x:c r="G208" s="219" t="n">
        <x:v>56970</x:v>
      </x:c>
      <x:c r="H208" s="219" t="n">
        <x:v>50510</x:v>
      </x:c>
      <x:c r="I208" s="219" t="n">
        <x:v>44050</x:v>
      </x:c>
      <x:c r="J208" s="219" t="n">
        <x:v>37570</x:v>
      </x:c>
      <x:c r="K208" s="219" t="n">
        <x:v>31110</x:v>
      </x:c>
      <x:c r="L208" s="219" t="n">
        <x:v>24650</x:v>
      </x:c>
      <x:c r="M208" s="219" t="n">
        <x:v>18980</x:v>
      </x:c>
      <x:c r="N208" s="219" t="n">
        <x:v>15740</x:v>
      </x:c>
    </x:row>
    <x:row r="209">
      <x:c r="A209" s="219" t="n">
        <x:v>665000</x:v>
      </x:c>
      <x:c r="B209" s="219" t="n">
        <x:v>668000</x:v>
      </x:c>
      <x:c r="C209" s="225" t="n">
        <x:v>0</x:v>
      </x:c>
      <x:c r="D209" s="219" t="n">
        <x:v>665000</x:v>
      </x:c>
      <x:c r="E209" s="219" t="n">
        <x:v>224100</x:v>
      </x:c>
      <x:c r="F209" s="225" t="n">
        <x:v>0</x:v>
      </x:c>
      <x:c r="G209" s="219" t="n">
        <x:v>57520</x:v>
      </x:c>
      <x:c r="H209" s="219" t="n">
        <x:v>51060</x:v>
      </x:c>
      <x:c r="I209" s="219" t="n">
        <x:v>44600</x:v>
      </x:c>
      <x:c r="J209" s="219" t="n">
        <x:v>38120</x:v>
      </x:c>
      <x:c r="K209" s="219" t="n">
        <x:v>31660</x:v>
      </x:c>
      <x:c r="L209" s="219" t="n">
        <x:v>25200</x:v>
      </x:c>
      <x:c r="M209" s="219" t="n">
        <x:v>19260</x:v>
      </x:c>
      <x:c r="N209" s="219" t="n">
        <x:v>16020</x:v>
      </x:c>
    </x:row>
    <x:row r="210">
      <x:c r="A210" s="219" t="n">
        <x:v>668000</x:v>
      </x:c>
      <x:c r="B210" s="219" t="n">
        <x:v>671000</x:v>
      </x:c>
      <x:c r="C210" s="225" t="n">
        <x:v>0</x:v>
      </x:c>
      <x:c r="D210" s="219" t="n">
        <x:v>668000</x:v>
      </x:c>
      <x:c r="E210" s="219" t="n">
        <x:v>225000</x:v>
      </x:c>
      <x:c r="F210" s="225" t="n">
        <x:v>0</x:v>
      </x:c>
      <x:c r="G210" s="219" t="n">
        <x:v>58070</x:v>
      </x:c>
      <x:c r="H210" s="219" t="n">
        <x:v>51610</x:v>
      </x:c>
      <x:c r="I210" s="219" t="n">
        <x:v>45150</x:v>
      </x:c>
      <x:c r="J210" s="219" t="n">
        <x:v>38680</x:v>
      </x:c>
      <x:c r="K210" s="219" t="n">
        <x:v>32210</x:v>
      </x:c>
      <x:c r="L210" s="219" t="n">
        <x:v>25750</x:v>
      </x:c>
      <x:c r="M210" s="219" t="n">
        <x:v>19530</x:v>
      </x:c>
      <x:c r="N210" s="219" t="n">
        <x:v>16300</x:v>
      </x:c>
    </x:row>
    <x:row r="211">
      <x:c r="A211" s="219" t="n">
        <x:v>671000</x:v>
      </x:c>
      <x:c r="B211" s="219" t="n">
        <x:v>674000</x:v>
      </x:c>
      <x:c r="C211" s="225" t="n">
        <x:v>0</x:v>
      </x:c>
      <x:c r="D211" s="219" t="n">
        <x:v>671000</x:v>
      </x:c>
      <x:c r="E211" s="219" t="n">
        <x:v>226000</x:v>
      </x:c>
      <x:c r="F211" s="225" t="n">
        <x:v>0</x:v>
      </x:c>
      <x:c r="G211" s="219" t="n">
        <x:v>58630</x:v>
      </x:c>
      <x:c r="H211" s="219" t="n">
        <x:v>52160</x:v>
      </x:c>
      <x:c r="I211" s="219" t="n">
        <x:v>45700</x:v>
      </x:c>
      <x:c r="J211" s="219" t="n">
        <x:v>39230</x:v>
      </x:c>
      <x:c r="K211" s="219" t="n">
        <x:v>32760</x:v>
      </x:c>
      <x:c r="L211" s="219" t="n">
        <x:v>26300</x:v>
      </x:c>
      <x:c r="M211" s="219" t="n">
        <x:v>19830</x:v>
      </x:c>
      <x:c r="N211" s="219" t="n">
        <x:v>16570</x:v>
      </x:c>
    </x:row>
    <x:row r="212">
      <x:c r="A212" s="219" t="n">
        <x:v>674000</x:v>
      </x:c>
      <x:c r="B212" s="219" t="n">
        <x:v>677000</x:v>
      </x:c>
      <x:c r="C212" s="225" t="n">
        <x:v>0</x:v>
      </x:c>
      <x:c r="D212" s="219" t="n">
        <x:v>674000</x:v>
      </x:c>
      <x:c r="E212" s="219" t="n">
        <x:v>227100</x:v>
      </x:c>
      <x:c r="F212" s="225" t="n">
        <x:v>0</x:v>
      </x:c>
      <x:c r="G212" s="219" t="n">
        <x:v>59180</x:v>
      </x:c>
      <x:c r="H212" s="219" t="n">
        <x:v>52710</x:v>
      </x:c>
      <x:c r="I212" s="219" t="n">
        <x:v>46250</x:v>
      </x:c>
      <x:c r="J212" s="219" t="n">
        <x:v>39780</x:v>
      </x:c>
      <x:c r="K212" s="219" t="n">
        <x:v>33320</x:v>
      </x:c>
      <x:c r="L212" s="219" t="n">
        <x:v>26850</x:v>
      </x:c>
      <x:c r="M212" s="219" t="n">
        <x:v>20380</x:v>
      </x:c>
      <x:c r="N212" s="219" t="n">
        <x:v>16850</x:v>
      </x:c>
    </x:row>
    <x:row r="213">
      <x:c r="A213" s="219" t="n">
        <x:v>677000</x:v>
      </x:c>
      <x:c r="B213" s="219" t="n">
        <x:v>680000</x:v>
      </x:c>
      <x:c r="C213" s="225" t="n">
        <x:v>0</x:v>
      </x:c>
      <x:c r="D213" s="219" t="n">
        <x:v>677000</x:v>
      </x:c>
      <x:c r="E213" s="219" t="n">
        <x:v>228100</x:v>
      </x:c>
      <x:c r="F213" s="225" t="n">
        <x:v>0</x:v>
      </x:c>
      <x:c r="G213" s="219" t="n">
        <x:v>59730</x:v>
      </x:c>
      <x:c r="H213" s="219" t="n">
        <x:v>53270</x:v>
      </x:c>
      <x:c r="I213" s="219" t="n">
        <x:v>46800</x:v>
      </x:c>
      <x:c r="J213" s="219" t="n">
        <x:v>40330</x:v>
      </x:c>
      <x:c r="K213" s="219" t="n">
        <x:v>33870</x:v>
      </x:c>
      <x:c r="L213" s="219" t="n">
        <x:v>27400</x:v>
      </x:c>
      <x:c r="M213" s="219" t="n">
        <x:v>20930</x:v>
      </x:c>
      <x:c r="N213" s="219" t="n">
        <x:v>17120</x:v>
      </x:c>
    </x:row>
    <x:row r="214">
      <x:c r="A214" s="219" t="n">
        <x:v>680000</x:v>
      </x:c>
      <x:c r="B214" s="219" t="n">
        <x:v>683000</x:v>
      </x:c>
      <x:c r="C214" s="225" t="n">
        <x:v>0</x:v>
      </x:c>
      <x:c r="D214" s="219" t="n">
        <x:v>680000</x:v>
      </x:c>
      <x:c r="E214" s="219" t="n">
        <x:v>229100</x:v>
      </x:c>
      <x:c r="F214" s="225" t="n">
        <x:v>0</x:v>
      </x:c>
      <x:c r="G214" s="219" t="n">
        <x:v>60280</x:v>
      </x:c>
      <x:c r="H214" s="219" t="n">
        <x:v>53820</x:v>
      </x:c>
      <x:c r="I214" s="219" t="n">
        <x:v>47350</x:v>
      </x:c>
      <x:c r="J214" s="219" t="n">
        <x:v>40880</x:v>
      </x:c>
      <x:c r="K214" s="219" t="n">
        <x:v>34420</x:v>
      </x:c>
      <x:c r="L214" s="219" t="n">
        <x:v>27950</x:v>
      </x:c>
      <x:c r="M214" s="219" t="n">
        <x:v>21480</x:v>
      </x:c>
      <x:c r="N214" s="219" t="n">
        <x:v>17400</x:v>
      </x:c>
    </x:row>
    <x:row r="215">
      <x:c r="A215" s="219" t="n">
        <x:v>683000</x:v>
      </x:c>
      <x:c r="B215" s="219" t="n">
        <x:v>686000</x:v>
      </x:c>
      <x:c r="C215" s="225" t="n">
        <x:v>0</x:v>
      </x:c>
      <x:c r="D215" s="219" t="n">
        <x:v>683000</x:v>
      </x:c>
      <x:c r="E215" s="219" t="n">
        <x:v>230100</x:v>
      </x:c>
      <x:c r="F215" s="225" t="n">
        <x:v>0</x:v>
      </x:c>
      <x:c r="G215" s="219" t="n">
        <x:v>60830</x:v>
      </x:c>
      <x:c r="H215" s="219" t="n">
        <x:v>54370</x:v>
      </x:c>
      <x:c r="I215" s="219" t="n">
        <x:v>47910</x:v>
      </x:c>
      <x:c r="J215" s="219" t="n">
        <x:v>41430</x:v>
      </x:c>
      <x:c r="K215" s="219" t="n">
        <x:v>34970</x:v>
      </x:c>
      <x:c r="L215" s="219" t="n">
        <x:v>28510</x:v>
      </x:c>
      <x:c r="M215" s="219" t="n">
        <x:v>22030</x:v>
      </x:c>
      <x:c r="N215" s="219" t="n">
        <x:v>17670</x:v>
      </x:c>
    </x:row>
    <x:row r="216">
      <x:c r="A216" s="219" t="n">
        <x:v>686000</x:v>
      </x:c>
      <x:c r="B216" s="219" t="n">
        <x:v>689000</x:v>
      </x:c>
      <x:c r="C216" s="225" t="n">
        <x:v>0</x:v>
      </x:c>
      <x:c r="D216" s="219" t="n">
        <x:v>686000</x:v>
      </x:c>
      <x:c r="E216" s="219" t="n">
        <x:v>231500</x:v>
      </x:c>
      <x:c r="F216" s="225" t="n">
        <x:v>0</x:v>
      </x:c>
      <x:c r="G216" s="219" t="n">
        <x:v>61380</x:v>
      </x:c>
      <x:c r="H216" s="219" t="n">
        <x:v>54920</x:v>
      </x:c>
      <x:c r="I216" s="219" t="n">
        <x:v>48460</x:v>
      </x:c>
      <x:c r="J216" s="219" t="n">
        <x:v>41980</x:v>
      </x:c>
      <x:c r="K216" s="219" t="n">
        <x:v>35520</x:v>
      </x:c>
      <x:c r="L216" s="219" t="n">
        <x:v>29060</x:v>
      </x:c>
      <x:c r="M216" s="219" t="n">
        <x:v>22580</x:v>
      </x:c>
      <x:c r="N216" s="219" t="n">
        <x:v>17950</x:v>
      </x:c>
    </x:row>
    <x:row r="217">
      <x:c r="A217" s="219" t="n">
        <x:v>689000</x:v>
      </x:c>
      <x:c r="B217" s="219" t="n">
        <x:v>692000</x:v>
      </x:c>
      <x:c r="C217" s="225" t="n">
        <x:v>0</x:v>
      </x:c>
      <x:c r="D217" s="219" t="n">
        <x:v>689000</x:v>
      </x:c>
      <x:c r="E217" s="219" t="n">
        <x:v>233000</x:v>
      </x:c>
      <x:c r="F217" s="225" t="n">
        <x:v>0</x:v>
      </x:c>
      <x:c r="G217" s="219" t="n">
        <x:v>61930</x:v>
      </x:c>
      <x:c r="H217" s="219" t="n">
        <x:v>55470</x:v>
      </x:c>
      <x:c r="I217" s="219" t="n">
        <x:v>49010</x:v>
      </x:c>
      <x:c r="J217" s="219" t="n">
        <x:v>42530</x:v>
      </x:c>
      <x:c r="K217" s="219" t="n">
        <x:v>36070</x:v>
      </x:c>
      <x:c r="L217" s="219" t="n">
        <x:v>29610</x:v>
      </x:c>
      <x:c r="M217" s="219" t="n">
        <x:v>23140</x:v>
      </x:c>
      <x:c r="N217" s="219" t="n">
        <x:v>18220</x:v>
      </x:c>
    </x:row>
    <x:row r="218">
      <x:c r="A218" s="219" t="n">
        <x:v>692000</x:v>
      </x:c>
      <x:c r="B218" s="219" t="n">
        <x:v>695000</x:v>
      </x:c>
      <x:c r="C218" s="225" t="n">
        <x:v>0</x:v>
      </x:c>
      <x:c r="D218" s="219" t="n">
        <x:v>692000</x:v>
      </x:c>
      <x:c r="E218" s="219" t="n">
        <x:v>234500</x:v>
      </x:c>
      <x:c r="F218" s="225" t="n">
        <x:v>0</x:v>
      </x:c>
      <x:c r="G218" s="219" t="n">
        <x:v>62490</x:v>
      </x:c>
      <x:c r="H218" s="219" t="n">
        <x:v>56020</x:v>
      </x:c>
      <x:c r="I218" s="219" t="n">
        <x:v>49560</x:v>
      </x:c>
      <x:c r="J218" s="219" t="n">
        <x:v>43090</x:v>
      </x:c>
      <x:c r="K218" s="219" t="n">
        <x:v>36620</x:v>
      </x:c>
      <x:c r="L218" s="219" t="n">
        <x:v>30160</x:v>
      </x:c>
      <x:c r="M218" s="219" t="n">
        <x:v>23690</x:v>
      </x:c>
      <x:c r="N218" s="219" t="n">
        <x:v>18500</x:v>
      </x:c>
    </x:row>
    <x:row r="219">
      <x:c r="A219" s="219" t="n">
        <x:v>695000</x:v>
      </x:c>
      <x:c r="B219" s="219" t="n">
        <x:v>698000</x:v>
      </x:c>
      <x:c r="C219" s="225" t="n">
        <x:v>0</x:v>
      </x:c>
      <x:c r="D219" s="219" t="n">
        <x:v>695000</x:v>
      </x:c>
      <x:c r="E219" s="219" t="n">
        <x:v>236100</x:v>
      </x:c>
      <x:c r="F219" s="225" t="n">
        <x:v>0</x:v>
      </x:c>
      <x:c r="G219" s="219" t="n">
        <x:v>63040</x:v>
      </x:c>
      <x:c r="H219" s="219" t="n">
        <x:v>56570</x:v>
      </x:c>
      <x:c r="I219" s="219" t="n">
        <x:v>50110</x:v>
      </x:c>
      <x:c r="J219" s="219" t="n">
        <x:v>43640</x:v>
      </x:c>
      <x:c r="K219" s="219" t="n">
        <x:v>37170</x:v>
      </x:c>
      <x:c r="L219" s="219" t="n">
        <x:v>30710</x:v>
      </x:c>
      <x:c r="M219" s="219" t="n">
        <x:v>24240</x:v>
      </x:c>
      <x:c r="N219" s="219" t="n">
        <x:v>18780</x:v>
      </x:c>
    </x:row>
    <x:row r="220">
      <x:c r="A220" s="219" t="n">
        <x:v>698000</x:v>
      </x:c>
      <x:c r="B220" s="219" t="n">
        <x:v>701000</x:v>
      </x:c>
      <x:c r="C220" s="225" t="n">
        <x:v>0</x:v>
      </x:c>
      <x:c r="D220" s="219" t="n">
        <x:v>698000</x:v>
      </x:c>
      <x:c r="E220" s="219" t="n">
        <x:v>237600</x:v>
      </x:c>
      <x:c r="F220" s="225" t="n">
        <x:v>0</x:v>
      </x:c>
      <x:c r="G220" s="219" t="n">
        <x:v>63590</x:v>
      </x:c>
      <x:c r="H220" s="219" t="n">
        <x:v>57120</x:v>
      </x:c>
      <x:c r="I220" s="219" t="n">
        <x:v>50660</x:v>
      </x:c>
      <x:c r="J220" s="219" t="n">
        <x:v>44190</x:v>
      </x:c>
      <x:c r="K220" s="219" t="n">
        <x:v>37730</x:v>
      </x:c>
      <x:c r="L220" s="219" t="n">
        <x:v>31260</x:v>
      </x:c>
      <x:c r="M220" s="219" t="n">
        <x:v>24790</x:v>
      </x:c>
      <x:c r="N220" s="219" t="n">
        <x:v>19050</x:v>
      </x:c>
    </x:row>
    <x:row r="221">
      <x:c r="A221" s="219" t="n">
        <x:v>701000</x:v>
      </x:c>
      <x:c r="B221" s="219" t="n">
        <x:v>704000</x:v>
      </x:c>
      <x:c r="C221" s="225" t="n">
        <x:v>0</x:v>
      </x:c>
      <x:c r="D221" s="219" t="n">
        <x:v>701000</x:v>
      </x:c>
      <x:c r="E221" s="219" t="n">
        <x:v>239100</x:v>
      </x:c>
      <x:c r="F221" s="225" t="n">
        <x:v>0</x:v>
      </x:c>
      <x:c r="G221" s="219" t="n">
        <x:v>64140</x:v>
      </x:c>
      <x:c r="H221" s="219" t="n">
        <x:v>57680</x:v>
      </x:c>
      <x:c r="I221" s="219" t="n">
        <x:v>51210</x:v>
      </x:c>
      <x:c r="J221" s="219" t="n">
        <x:v>44740</x:v>
      </x:c>
      <x:c r="K221" s="219" t="n">
        <x:v>38280</x:v>
      </x:c>
      <x:c r="L221" s="219" t="n">
        <x:v>31810</x:v>
      </x:c>
      <x:c r="M221" s="219" t="n">
        <x:v>25340</x:v>
      </x:c>
      <x:c r="N221" s="219" t="n">
        <x:v>19330</x:v>
      </x:c>
    </x:row>
    <x:row r="222">
      <x:c r="A222" s="219" t="n">
        <x:v>704000</x:v>
      </x:c>
      <x:c r="B222" s="219" t="n">
        <x:v>707000</x:v>
      </x:c>
      <x:c r="C222" s="225" t="n">
        <x:v>0</x:v>
      </x:c>
      <x:c r="D222" s="219" t="n">
        <x:v>704000</x:v>
      </x:c>
      <x:c r="E222" s="219" t="n">
        <x:v>240800</x:v>
      </x:c>
      <x:c r="F222" s="225" t="n">
        <x:v>0</x:v>
      </x:c>
      <x:c r="G222" s="219" t="n">
        <x:v>64690</x:v>
      </x:c>
      <x:c r="H222" s="219" t="n">
        <x:v>58230</x:v>
      </x:c>
      <x:c r="I222" s="219" t="n">
        <x:v>51760</x:v>
      </x:c>
      <x:c r="J222" s="219" t="n">
        <x:v>45290</x:v>
      </x:c>
      <x:c r="K222" s="219" t="n">
        <x:v>38830</x:v>
      </x:c>
      <x:c r="L222" s="219" t="n">
        <x:v>32370</x:v>
      </x:c>
      <x:c r="M222" s="219" t="n">
        <x:v>25890</x:v>
      </x:c>
      <x:c r="N222" s="219" t="n">
        <x:v>19600</x:v>
      </x:c>
    </x:row>
    <x:row r="223">
      <x:c r="A223" s="219" t="n">
        <x:v>707000</x:v>
      </x:c>
      <x:c r="B223" s="219" t="n">
        <x:v>710000</x:v>
      </x:c>
      <x:c r="C223" s="225" t="n">
        <x:v>0</x:v>
      </x:c>
      <x:c r="D223" s="219" t="n">
        <x:v>707000</x:v>
      </x:c>
      <x:c r="E223" s="219" t="n">
        <x:v>242300</x:v>
      </x:c>
      <x:c r="F223" s="225" t="n">
        <x:v>0</x:v>
      </x:c>
      <x:c r="G223" s="219" t="n">
        <x:v>65250</x:v>
      </x:c>
      <x:c r="H223" s="219" t="n">
        <x:v>58780</x:v>
      </x:c>
      <x:c r="I223" s="219" t="n">
        <x:v>52320</x:v>
      </x:c>
      <x:c r="J223" s="219" t="n">
        <x:v>45850</x:v>
      </x:c>
      <x:c r="K223" s="219" t="n">
        <x:v>39380</x:v>
      </x:c>
      <x:c r="L223" s="219" t="n">
        <x:v>32920</x:v>
      </x:c>
      <x:c r="M223" s="219" t="n">
        <x:v>26450</x:v>
      </x:c>
      <x:c r="N223" s="219" t="n">
        <x:v>19980</x:v>
      </x:c>
    </x:row>
    <x:row r="224">
      <x:c r="A224" s="219" t="n">
        <x:v>710000</x:v>
      </x:c>
      <x:c r="B224" s="219" t="n">
        <x:v>713000</x:v>
      </x:c>
      <x:c r="C224" s="225" t="n">
        <x:v>0</x:v>
      </x:c>
      <x:c r="D224" s="219" t="n">
        <x:v>710000</x:v>
      </x:c>
      <x:c r="E224" s="219" t="n">
        <x:v>243800</x:v>
      </x:c>
      <x:c r="F224" s="225" t="n">
        <x:v>0</x:v>
      </x:c>
      <x:c r="G224" s="219" t="n">
        <x:v>65860</x:v>
      </x:c>
      <x:c r="H224" s="219" t="n">
        <x:v>59390</x:v>
      </x:c>
      <x:c r="I224" s="219" t="n">
        <x:v>52930</x:v>
      </x:c>
      <x:c r="J224" s="219" t="n">
        <x:v>46470</x:v>
      </x:c>
      <x:c r="K224" s="219" t="n">
        <x:v>39990</x:v>
      </x:c>
      <x:c r="L224" s="219" t="n">
        <x:v>33530</x:v>
      </x:c>
      <x:c r="M224" s="219" t="n">
        <x:v>27070</x:v>
      </x:c>
      <x:c r="N224" s="219" t="n">
        <x:v>20590</x:v>
      </x:c>
    </x:row>
    <x:row r="225">
      <x:c r="A225" s="219" t="n">
        <x:v>713000</x:v>
      </x:c>
      <x:c r="B225" s="219" t="n">
        <x:v>716000</x:v>
      </x:c>
      <x:c r="C225" s="225" t="n">
        <x:v>0</x:v>
      </x:c>
      <x:c r="D225" s="219" t="n">
        <x:v>713000</x:v>
      </x:c>
      <x:c r="E225" s="219" t="n">
        <x:v>245300</x:v>
      </x:c>
      <x:c r="F225" s="225" t="n">
        <x:v>0</x:v>
      </x:c>
      <x:c r="G225" s="219" t="n">
        <x:v>66480</x:v>
      </x:c>
      <x:c r="H225" s="219" t="n">
        <x:v>60000</x:v>
      </x:c>
      <x:c r="I225" s="219" t="n">
        <x:v>53540</x:v>
      </x:c>
      <x:c r="J225" s="219" t="n">
        <x:v>47080</x:v>
      </x:c>
      <x:c r="K225" s="219" t="n">
        <x:v>40610</x:v>
      </x:c>
      <x:c r="L225" s="219" t="n">
        <x:v>34140</x:v>
      </x:c>
      <x:c r="M225" s="219" t="n">
        <x:v>27680</x:v>
      </x:c>
      <x:c r="N225" s="219" t="n">
        <x:v>21210</x:v>
      </x:c>
    </x:row>
    <x:row r="226">
      <x:c r="A226" s="219" t="n">
        <x:v>716000</x:v>
      </x:c>
      <x:c r="B226" s="219" t="n">
        <x:v>719000</x:v>
      </x:c>
      <x:c r="C226" s="225" t="n">
        <x:v>0</x:v>
      </x:c>
      <x:c r="D226" s="219" t="n">
        <x:v>716000</x:v>
      </x:c>
      <x:c r="E226" s="219" t="n">
        <x:v>246900</x:v>
      </x:c>
      <x:c r="F226" s="225" t="n">
        <x:v>0</x:v>
      </x:c>
      <x:c r="G226" s="219" t="n">
        <x:v>67090</x:v>
      </x:c>
      <x:c r="H226" s="219" t="n">
        <x:v>60620</x:v>
      </x:c>
      <x:c r="I226" s="219" t="n">
        <x:v>54150</x:v>
      </x:c>
      <x:c r="J226" s="219" t="n">
        <x:v>47690</x:v>
      </x:c>
      <x:c r="K226" s="219" t="n">
        <x:v>41220</x:v>
      </x:c>
      <x:c r="L226" s="219" t="n">
        <x:v>34750</x:v>
      </x:c>
      <x:c r="M226" s="219" t="n">
        <x:v>28290</x:v>
      </x:c>
      <x:c r="N226" s="219" t="n">
        <x:v>21820</x:v>
      </x:c>
    </x:row>
    <x:row r="227">
      <x:c r="A227" s="219" t="n">
        <x:v>719000</x:v>
      </x:c>
      <x:c r="B227" s="219" t="n">
        <x:v>722000</x:v>
      </x:c>
      <x:c r="C227" s="225" t="n">
        <x:v>0</x:v>
      </x:c>
      <x:c r="D227" s="219" t="n">
        <x:v>719000</x:v>
      </x:c>
      <x:c r="E227" s="219" t="n">
        <x:v>248400</x:v>
      </x:c>
      <x:c r="F227" s="225" t="n">
        <x:v>0</x:v>
      </x:c>
      <x:c r="G227" s="219" t="n">
        <x:v>67700</x:v>
      </x:c>
      <x:c r="H227" s="219" t="n">
        <x:v>61230</x:v>
      </x:c>
      <x:c r="I227" s="219" t="n">
        <x:v>54770</x:v>
      </x:c>
      <x:c r="J227" s="219" t="n">
        <x:v>48300</x:v>
      </x:c>
      <x:c r="K227" s="219" t="n">
        <x:v>41830</x:v>
      </x:c>
      <x:c r="L227" s="219" t="n">
        <x:v>35370</x:v>
      </x:c>
      <x:c r="M227" s="219" t="n">
        <x:v>28900</x:v>
      </x:c>
      <x:c r="N227" s="219" t="n">
        <x:v>22430</x:v>
      </x:c>
    </x:row>
    <x:row r="228">
      <x:c r="A228" s="219" t="n">
        <x:v>722000</x:v>
      </x:c>
      <x:c r="B228" s="219" t="n">
        <x:v>725000</x:v>
      </x:c>
      <x:c r="C228" s="225" t="n">
        <x:v>0</x:v>
      </x:c>
      <x:c r="D228" s="219" t="n">
        <x:v>722000</x:v>
      </x:c>
      <x:c r="E228" s="219" t="n">
        <x:v>250000</x:v>
      </x:c>
      <x:c r="F228" s="225" t="n">
        <x:v>0</x:v>
      </x:c>
      <x:c r="G228" s="219" t="n">
        <x:v>68320</x:v>
      </x:c>
      <x:c r="H228" s="219" t="n">
        <x:v>61840</x:v>
      </x:c>
      <x:c r="I228" s="219" t="n">
        <x:v>55380</x:v>
      </x:c>
      <x:c r="J228" s="219" t="n">
        <x:v>48920</x:v>
      </x:c>
      <x:c r="K228" s="219" t="n">
        <x:v>42440</x:v>
      </x:c>
      <x:c r="L228" s="219" t="n">
        <x:v>35980</x:v>
      </x:c>
      <x:c r="M228" s="219" t="n">
        <x:v>29520</x:v>
      </x:c>
      <x:c r="N228" s="219" t="n">
        <x:v>23040</x:v>
      </x:c>
    </x:row>
    <x:row r="229">
      <x:c r="A229" s="219" t="n">
        <x:v>725000</x:v>
      </x:c>
      <x:c r="B229" s="219" t="n">
        <x:v>728000</x:v>
      </x:c>
      <x:c r="C229" s="225" t="n">
        <x:v>0</x:v>
      </x:c>
      <x:c r="D229" s="219" t="n">
        <x:v>725000</x:v>
      </x:c>
      <x:c r="E229" s="219" t="n">
        <x:v>251600</x:v>
      </x:c>
      <x:c r="F229" s="225" t="n">
        <x:v>0</x:v>
      </x:c>
      <x:c r="G229" s="219" t="n">
        <x:v>68930</x:v>
      </x:c>
      <x:c r="H229" s="219" t="n">
        <x:v>62450</x:v>
      </x:c>
      <x:c r="I229" s="219" t="n">
        <x:v>55990</x:v>
      </x:c>
      <x:c r="J229" s="219" t="n">
        <x:v>49530</x:v>
      </x:c>
      <x:c r="K229" s="219" t="n">
        <x:v>43060</x:v>
      </x:c>
      <x:c r="L229" s="219" t="n">
        <x:v>36590</x:v>
      </x:c>
      <x:c r="M229" s="219" t="n">
        <x:v>30130</x:v>
      </x:c>
      <x:c r="N229" s="219" t="n">
        <x:v>23660</x:v>
      </x:c>
    </x:row>
    <x:row r="230">
      <x:c r="A230" s="219" t="n">
        <x:v>728000</x:v>
      </x:c>
      <x:c r="B230" s="219" t="n">
        <x:v>731000</x:v>
      </x:c>
      <x:c r="C230" s="225" t="n">
        <x:v>0</x:v>
      </x:c>
      <x:c r="D230" s="219" t="n">
        <x:v>728000</x:v>
      </x:c>
      <x:c r="E230" s="219" t="n">
        <x:v>253100</x:v>
      </x:c>
      <x:c r="F230" s="225" t="n">
        <x:v>0</x:v>
      </x:c>
      <x:c r="G230" s="219" t="n">
        <x:v>69540</x:v>
      </x:c>
      <x:c r="H230" s="219" t="n">
        <x:v>63070</x:v>
      </x:c>
      <x:c r="I230" s="219" t="n">
        <x:v>56600</x:v>
      </x:c>
      <x:c r="J230" s="219" t="n">
        <x:v>50140</x:v>
      </x:c>
      <x:c r="K230" s="219" t="n">
        <x:v>43670</x:v>
      </x:c>
      <x:c r="L230" s="219" t="n">
        <x:v>37210</x:v>
      </x:c>
      <x:c r="M230" s="219" t="n">
        <x:v>30740</x:v>
      </x:c>
      <x:c r="N230" s="219" t="n">
        <x:v>24270</x:v>
      </x:c>
    </x:row>
    <x:row r="231">
      <x:c r="A231" s="219" t="n">
        <x:v>731000</x:v>
      </x:c>
      <x:c r="B231" s="219" t="n">
        <x:v>734000</x:v>
      </x:c>
      <x:c r="C231" s="225" t="n">
        <x:v>0</x:v>
      </x:c>
      <x:c r="D231" s="219" t="n">
        <x:v>731000</x:v>
      </x:c>
      <x:c r="E231" s="219" t="n">
        <x:v>254600</x:v>
      </x:c>
      <x:c r="F231" s="225" t="n">
        <x:v>0</x:v>
      </x:c>
      <x:c r="G231" s="219" t="n">
        <x:v>70150</x:v>
      </x:c>
      <x:c r="H231" s="219" t="n">
        <x:v>63680</x:v>
      </x:c>
      <x:c r="I231" s="219" t="n">
        <x:v>57220</x:v>
      </x:c>
      <x:c r="J231" s="219" t="n">
        <x:v>50750</x:v>
      </x:c>
      <x:c r="K231" s="219" t="n">
        <x:v>44280</x:v>
      </x:c>
      <x:c r="L231" s="219" t="n">
        <x:v>37820</x:v>
      </x:c>
      <x:c r="M231" s="219" t="n">
        <x:v>31350</x:v>
      </x:c>
      <x:c r="N231" s="219" t="n">
        <x:v>24880</x:v>
      </x:c>
    </x:row>
    <x:row r="232">
      <x:c r="A232" s="219" t="n">
        <x:v>734000</x:v>
      </x:c>
      <x:c r="B232" s="219" t="n">
        <x:v>737000</x:v>
      </x:c>
      <x:c r="C232" s="225" t="n">
        <x:v>0</x:v>
      </x:c>
      <x:c r="D232" s="219" t="n">
        <x:v>734000</x:v>
      </x:c>
      <x:c r="E232" s="219" t="n">
        <x:v>256200</x:v>
      </x:c>
      <x:c r="F232" s="225" t="n">
        <x:v>0</x:v>
      </x:c>
      <x:c r="G232" s="219" t="n">
        <x:v>70770</x:v>
      </x:c>
      <x:c r="H232" s="219" t="n">
        <x:v>64290</x:v>
      </x:c>
      <x:c r="I232" s="219" t="n">
        <x:v>57830</x:v>
      </x:c>
      <x:c r="J232" s="219" t="n">
        <x:v>51370</x:v>
      </x:c>
      <x:c r="K232" s="219" t="n">
        <x:v>44890</x:v>
      </x:c>
      <x:c r="L232" s="219" t="n">
        <x:v>38430</x:v>
      </x:c>
      <x:c r="M232" s="219" t="n">
        <x:v>31970</x:v>
      </x:c>
      <x:c r="N232" s="219" t="n">
        <x:v>25490</x:v>
      </x:c>
    </x:row>
    <x:row r="233">
      <x:c r="A233" s="219" t="n">
        <x:v>737000</x:v>
      </x:c>
      <x:c r="B233" s="219" t="n">
        <x:v>740000</x:v>
      </x:c>
      <x:c r="C233" s="225" t="n">
        <x:v>0</x:v>
      </x:c>
      <x:c r="D233" s="219" t="n">
        <x:v>737000</x:v>
      </x:c>
      <x:c r="E233" s="219" t="n">
        <x:v>257700</x:v>
      </x:c>
      <x:c r="F233" s="225" t="n">
        <x:v>0</x:v>
      </x:c>
      <x:c r="G233" s="219" t="n">
        <x:v>71380</x:v>
      </x:c>
      <x:c r="H233" s="219" t="n">
        <x:v>64900</x:v>
      </x:c>
      <x:c r="I233" s="219" t="n">
        <x:v>58440</x:v>
      </x:c>
      <x:c r="J233" s="219" t="n">
        <x:v>51980</x:v>
      </x:c>
      <x:c r="K233" s="219" t="n">
        <x:v>45510</x:v>
      </x:c>
      <x:c r="L233" s="219" t="n">
        <x:v>39040</x:v>
      </x:c>
      <x:c r="M233" s="219" t="n">
        <x:v>32580</x:v>
      </x:c>
      <x:c r="N233" s="219" t="n">
        <x:v>26110</x:v>
      </x:c>
    </x:row>
    <x:row r="234">
      <x:c r="A234" s="219" t="n">
        <x:v>740000</x:v>
      </x:c>
      <x:c r="B234" s="219" t="n">
        <x:v>790000</x:v>
      </x:c>
      <x:c r="C234" s="225" t="n">
        <x:v>0.2042</x:v>
      </x:c>
      <x:c r="D234" s="219" t="n">
        <x:v>740000</x:v>
      </x:c>
      <x:c r="E234" s="219" t="n">
        <x:v>259200</x:v>
      </x:c>
      <x:c r="F234" s="225" t="n">
        <x:v>0.4084</x:v>
      </x:c>
      <x:c r="G234" s="219" t="n">
        <x:v>71680</x:v>
      </x:c>
      <x:c r="H234" s="219" t="n">
        <x:v>65210</x:v>
      </x:c>
      <x:c r="I234" s="219" t="n">
        <x:v>58750</x:v>
      </x:c>
      <x:c r="J234" s="219" t="n">
        <x:v>52290</x:v>
      </x:c>
      <x:c r="K234" s="219" t="n">
        <x:v>45810</x:v>
      </x:c>
      <x:c r="L234" s="219" t="n">
        <x:v>39350</x:v>
      </x:c>
      <x:c r="M234" s="219" t="n">
        <x:v>32890</x:v>
      </x:c>
      <x:c r="N234" s="219" t="n">
        <x:v>26410</x:v>
      </x:c>
    </x:row>
    <x:row r="235">
      <x:c r="A235" s="219" t="n">
        <x:v>790000</x:v>
      </x:c>
      <x:c r="B235" s="219" t="n">
        <x:v>960000</x:v>
      </x:c>
      <x:c r="C235" s="225" t="n">
        <x:v>0.23483</x:v>
      </x:c>
      <x:c r="D235" s="219" t="n">
        <x:v>740000</x:v>
      </x:c>
      <x:c r="E235" s="219" t="n">
        <x:v>259200</x:v>
      </x:c>
      <x:c r="F235" s="225" t="n">
        <x:v>0.4084</x:v>
      </x:c>
      <x:c r="G235" s="219" t="n">
        <x:v>81890</x:v>
      </x:c>
      <x:c r="H235" s="219" t="n">
        <x:v>75420</x:v>
      </x:c>
      <x:c r="I235" s="219" t="n">
        <x:v>68960</x:v>
      </x:c>
      <x:c r="J235" s="219" t="n">
        <x:v>62500</x:v>
      </x:c>
      <x:c r="K235" s="219" t="n">
        <x:v>56020</x:v>
      </x:c>
      <x:c r="L235" s="219" t="n">
        <x:v>49560</x:v>
      </x:c>
      <x:c r="M235" s="219" t="n">
        <x:v>43100</x:v>
      </x:c>
      <x:c r="N235" s="219" t="n">
        <x:v>36620</x:v>
      </x:c>
    </x:row>
    <x:row r="236">
      <x:c r="A236" s="219" t="n">
        <x:v>960000</x:v>
      </x:c>
      <x:c r="B236" s="219" t="n">
        <x:v>1710000</x:v>
      </x:c>
      <x:c r="C236" s="225" t="n">
        <x:v>0.33693</x:v>
      </x:c>
      <x:c r="D236" s="219" t="n">
        <x:v>740000</x:v>
      </x:c>
      <x:c r="E236" s="219" t="n">
        <x:v>259200</x:v>
      </x:c>
      <x:c r="F236" s="225" t="n">
        <x:v>0.4084</x:v>
      </x:c>
      <x:c r="G236" s="219" t="n">
        <x:v>121820</x:v>
      </x:c>
      <x:c r="H236" s="219" t="n">
        <x:v>115340</x:v>
      </x:c>
      <x:c r="I236" s="219" t="n">
        <x:v>108880</x:v>
      </x:c>
      <x:c r="J236" s="219" t="n">
        <x:v>102420</x:v>
      </x:c>
      <x:c r="K236" s="219" t="n">
        <x:v>95940</x:v>
      </x:c>
      <x:c r="L236" s="219" t="n">
        <x:v>89480</x:v>
      </x:c>
      <x:c r="M236" s="219" t="n">
        <x:v>83020</x:v>
      </x:c>
      <x:c r="N236" s="219" t="n">
        <x:v>76540</x:v>
      </x:c>
    </x:row>
    <x:row r="237">
      <x:c r="A237" s="219" t="n">
        <x:v>1710000</x:v>
      </x:c>
      <x:c r="B237" s="219" t="n">
        <x:v>2130000</x:v>
      </x:c>
      <x:c r="C237" s="225" t="n">
        <x:v>0.4084</x:v>
      </x:c>
      <x:c r="D237" s="219" t="n">
        <x:v>1710000</x:v>
      </x:c>
      <x:c r="E237" s="219" t="n">
        <x:v>655400</x:v>
      </x:c>
      <x:c r="F237" s="225" t="n">
        <x:v>0.45945</x:v>
      </x:c>
      <x:c r="G237" s="219" t="n">
        <x:v>374520</x:v>
      </x:c>
      <x:c r="H237" s="219" t="n">
        <x:v>368040</x:v>
      </x:c>
      <x:c r="I237" s="219" t="n">
        <x:v>361580</x:v>
      </x:c>
      <x:c r="J237" s="219" t="n">
        <x:v>355120</x:v>
      </x:c>
      <x:c r="K237" s="219" t="n">
        <x:v>348640</x:v>
      </x:c>
      <x:c r="L237" s="219" t="n">
        <x:v>342180</x:v>
      </x:c>
      <x:c r="M237" s="219" t="n">
        <x:v>335720</x:v>
      </x:c>
      <x:c r="N237" s="219" t="n">
        <x:v>329240</x:v>
      </x:c>
    </x:row>
    <x:row r="238">
      <x:c r="A238" s="219" t="n">
        <x:v>2130000</x:v>
      </x:c>
      <x:c r="B238" s="219" t="n">
        <x:v>2170000</x:v>
      </x:c>
      <x:c r="C238" s="225" t="n">
        <x:v>0.4084</x:v>
      </x:c>
      <x:c r="D238" s="219" t="n">
        <x:v>1710000</x:v>
      </x:c>
      <x:c r="E238" s="219" t="n">
        <x:v>655400</x:v>
      </x:c>
      <x:c r="F238" s="225" t="n">
        <x:v>0.45945</x:v>
      </x:c>
      <x:c r="G238" s="219" t="n">
        <x:v>549440</x:v>
      </x:c>
      <x:c r="H238" s="219" t="n">
        <x:v>542970</x:v>
      </x:c>
      <x:c r="I238" s="219" t="n">
        <x:v>536500</x:v>
      </x:c>
      <x:c r="J238" s="219" t="n">
        <x:v>530040</x:v>
      </x:c>
      <x:c r="K238" s="219" t="n">
        <x:v>523570</x:v>
      </x:c>
      <x:c r="L238" s="219" t="n">
        <x:v>517110</x:v>
      </x:c>
      <x:c r="M238" s="219" t="n">
        <x:v>510640</x:v>
      </x:c>
      <x:c r="N238" s="219" t="n">
        <x:v>504170</x:v>
      </x:c>
    </x:row>
    <x:row r="239">
      <x:c r="A239" s="219" t="n">
        <x:v>2170000</x:v>
      </x:c>
      <x:c r="B239" s="219" t="n">
        <x:v>2210000</x:v>
      </x:c>
      <x:c r="C239" s="225" t="n">
        <x:v>0.4084</x:v>
      </x:c>
      <x:c r="D239" s="219" t="n">
        <x:v>1710000</x:v>
      </x:c>
      <x:c r="E239" s="219" t="n">
        <x:v>655400</x:v>
      </x:c>
      <x:c r="F239" s="225" t="n">
        <x:v>0.45945</x:v>
      </x:c>
      <x:c r="G239" s="219" t="n">
        <x:v>571220</x:v>
      </x:c>
      <x:c r="H239" s="219" t="n">
        <x:v>564750</x:v>
      </x:c>
      <x:c r="I239" s="219" t="n">
        <x:v>558280</x:v>
      </x:c>
      <x:c r="J239" s="219" t="n">
        <x:v>551820</x:v>
      </x:c>
      <x:c r="K239" s="219" t="n">
        <x:v>545350</x:v>
      </x:c>
      <x:c r="L239" s="219" t="n">
        <x:v>538880</x:v>
      </x:c>
      <x:c r="M239" s="219" t="n">
        <x:v>532420</x:v>
      </x:c>
      <x:c r="N239" s="219" t="n">
        <x:v>525950</x:v>
      </x:c>
    </x:row>
    <x:row r="240">
      <x:c r="A240" s="219" t="n">
        <x:v>2210000</x:v>
      </x:c>
      <x:c r="B240" s="219" t="n">
        <x:v>2250000</x:v>
      </x:c>
      <x:c r="C240" s="225" t="n">
        <x:v>0.4084</x:v>
      </x:c>
      <x:c r="D240" s="219" t="n">
        <x:v>1710000</x:v>
      </x:c>
      <x:c r="E240" s="219" t="n">
        <x:v>655400</x:v>
      </x:c>
      <x:c r="F240" s="225" t="n">
        <x:v>0.45945</x:v>
      </x:c>
      <x:c r="G240" s="219" t="n">
        <x:v>593000</x:v>
      </x:c>
      <x:c r="H240" s="219" t="n">
        <x:v>586520</x:v>
      </x:c>
      <x:c r="I240" s="219" t="n">
        <x:v>580060</x:v>
      </x:c>
      <x:c r="J240" s="219" t="n">
        <x:v>573600</x:v>
      </x:c>
      <x:c r="K240" s="219" t="n">
        <x:v>567120</x:v>
      </x:c>
      <x:c r="L240" s="219" t="n">
        <x:v>560660</x:v>
      </x:c>
      <x:c r="M240" s="219" t="n">
        <x:v>554200</x:v>
      </x:c>
      <x:c r="N240" s="219" t="n">
        <x:v>547730</x:v>
      </x:c>
    </x:row>
    <x:row r="241">
      <x:c r="A241" s="219" t="n">
        <x:v>2250000</x:v>
      </x:c>
      <x:c r="B241" s="219" t="n">
        <x:v>3500000</x:v>
      </x:c>
      <x:c r="C241" s="225" t="n">
        <x:v>0.4084</x:v>
      </x:c>
      <x:c r="D241" s="219" t="n">
        <x:v>1710000</x:v>
      </x:c>
      <x:c r="E241" s="219" t="n">
        <x:v>655400</x:v>
      </x:c>
      <x:c r="F241" s="225" t="n">
        <x:v>0.45945</x:v>
      </x:c>
      <x:c r="G241" s="219" t="n">
        <x:v>614770</x:v>
      </x:c>
      <x:c r="H241" s="219" t="n">
        <x:v>608300</x:v>
      </x:c>
      <x:c r="I241" s="219" t="n">
        <x:v>601840</x:v>
      </x:c>
      <x:c r="J241" s="219" t="n">
        <x:v>595380</x:v>
      </x:c>
      <x:c r="K241" s="219" t="n">
        <x:v>588900</x:v>
      </x:c>
      <x:c r="L241" s="219" t="n">
        <x:v>582440</x:v>
      </x:c>
      <x:c r="M241" s="219" t="n">
        <x:v>575980</x:v>
      </x:c>
      <x:c r="N241" s="219" t="n">
        <x:v>569500</x:v>
      </x:c>
    </x:row>
    <x:row r="242">
      <x:c r="A242" s="219" t="n">
        <x:v>3500000</x:v>
      </x:c>
      <x:c r="B242" s="219" t="n">
        <x:v>999999999</x:v>
      </x:c>
      <x:c r="C242" s="225" t="n">
        <x:v>0.45945</x:v>
      </x:c>
      <x:c r="D242" s="219" t="n">
        <x:v>1710000</x:v>
      </x:c>
      <x:c r="E242" s="219" t="n">
        <x:v>655400</x:v>
      </x:c>
      <x:c r="F242" s="225" t="n">
        <x:v>0.45945</x:v>
      </x:c>
      <x:c r="G242" s="219" t="n">
        <x:v>1125270</x:v>
      </x:c>
      <x:c r="H242" s="219" t="n">
        <x:v>1118800</x:v>
      </x:c>
      <x:c r="I242" s="219" t="n">
        <x:v>1112340</x:v>
      </x:c>
      <x:c r="J242" s="219" t="n">
        <x:v>1105880</x:v>
      </x:c>
      <x:c r="K242" s="219" t="n">
        <x:v>1099400</x:v>
      </x:c>
      <x:c r="L242" s="219" t="n">
        <x:v>1092940</x:v>
      </x:c>
      <x:c r="M242" s="219" t="n">
        <x:v>1086480</x:v>
      </x:c>
      <x:c r="N242" s="219" t="n">
        <x:v>1080000</x:v>
      </x:c>
    </x:row>
    <x:row r="243">
      <x:c r="A243" s="219"/>
      <x:c r="B243" s="219"/>
      <x:c r="C243" s="225"/>
      <x:c r="D243" s="219"/>
      <x:c r="E243" s="219"/>
      <x:c r="F243" s="225"/>
      <x:c r="G243" s="219"/>
      <x:c r="H243" s="219"/>
      <x:c r="I243" s="219"/>
      <x:c r="J243" s="219"/>
      <x:c r="K243" s="219"/>
      <x:c r="L243" s="219"/>
      <x:c r="M243" s="219"/>
      <x:c r="N243" s="219"/>
    </x:row>
    <x:row r="244">
      <x:c r="A244" s="219"/>
      <x:c r="B244" s="219"/>
      <x:c r="C244" s="225"/>
      <x:c r="D244" s="219"/>
      <x:c r="E244" s="219"/>
      <x:c r="F244" s="225"/>
      <x:c r="G244" s="219"/>
      <x:c r="H244" s="219"/>
      <x:c r="I244" s="219"/>
      <x:c r="J244" s="219"/>
      <x:c r="K244" s="219"/>
      <x:c r="L244" s="219"/>
      <x:c r="M244" s="219"/>
      <x:c r="N244" s="219"/>
    </x:row>
    <x:row r="245">
      <x:c r="A245" s="219"/>
      <x:c r="B245" s="219"/>
      <x:c r="C245" s="225"/>
      <x:c r="D245" s="219"/>
      <x:c r="E245" s="219"/>
      <x:c r="F245" s="225"/>
      <x:c r="G245" s="219"/>
      <x:c r="H245" s="219"/>
      <x:c r="I245" s="219"/>
      <x:c r="J245" s="219"/>
      <x:c r="K245" s="219"/>
      <x:c r="L245" s="219"/>
      <x:c r="M245" s="219"/>
      <x:c r="N245" s="219"/>
    </x:row>
    <x:row r="246">
      <x:c r="A246" s="219"/>
      <x:c r="B246" s="219"/>
      <x:c r="C246" s="225"/>
      <x:c r="D246" s="219"/>
      <x:c r="E246" s="219"/>
      <x:c r="F246" s="225"/>
      <x:c r="G246" s="219"/>
      <x:c r="H246" s="219"/>
      <x:c r="I246" s="219"/>
      <x:c r="J246" s="219"/>
      <x:c r="K246" s="219"/>
      <x:c r="L246" s="219"/>
      <x:c r="M246" s="219"/>
      <x:c r="N246" s="219"/>
    </x:row>
    <x:row r="247">
      <x:c r="A247" s="219"/>
      <x:c r="B247" s="219"/>
      <x:c r="C247" s="225"/>
      <x:c r="D247" s="219"/>
      <x:c r="E247" s="219"/>
      <x:c r="F247" s="225"/>
      <x:c r="G247" s="219"/>
      <x:c r="H247" s="219"/>
      <x:c r="I247" s="219"/>
      <x:c r="J247" s="219"/>
      <x:c r="K247" s="219"/>
      <x:c r="L247" s="219"/>
      <x:c r="M247" s="219"/>
      <x:c r="N247" s="219"/>
    </x:row>
    <x:row r="248">
      <x:c r="A248" s="219"/>
      <x:c r="B248" s="219"/>
      <x:c r="C248" s="225"/>
      <x:c r="D248" s="219"/>
      <x:c r="E248" s="219"/>
      <x:c r="F248" s="225"/>
      <x:c r="G248" s="219"/>
      <x:c r="H248" s="219"/>
      <x:c r="I248" s="219"/>
      <x:c r="J248" s="219"/>
      <x:c r="K248" s="219"/>
      <x:c r="L248" s="219"/>
      <x:c r="M248" s="219"/>
      <x:c r="N248" s="219"/>
    </x:row>
    <x:row r="249">
      <x:c r="A249" s="219"/>
      <x:c r="B249" s="219"/>
      <x:c r="C249" s="225"/>
      <x:c r="D249" s="219"/>
      <x:c r="E249" s="219"/>
      <x:c r="F249" s="225"/>
      <x:c r="G249" s="219"/>
      <x:c r="H249" s="219"/>
      <x:c r="I249" s="219"/>
      <x:c r="J249" s="219"/>
      <x:c r="K249" s="219"/>
      <x:c r="L249" s="219"/>
      <x:c r="M249" s="219"/>
      <x:c r="N249" s="219"/>
    </x:row>
    <x:row r="250">
      <x:c r="A250" s="219"/>
      <x:c r="B250" s="219"/>
      <x:c r="C250" s="225"/>
      <x:c r="D250" s="219"/>
      <x:c r="E250" s="219"/>
      <x:c r="F250" s="225"/>
      <x:c r="G250" s="219"/>
      <x:c r="H250" s="219"/>
      <x:c r="I250" s="219"/>
      <x:c r="J250" s="219"/>
      <x:c r="K250" s="219"/>
      <x:c r="L250" s="219"/>
      <x:c r="M250" s="219"/>
      <x:c r="N250" s="219"/>
    </x:row>
    <x:row r="251">
      <x:c r="A251" s="219"/>
      <x:c r="B251" s="219"/>
      <x:c r="C251" s="225"/>
      <x:c r="D251" s="219"/>
      <x:c r="E251" s="219"/>
      <x:c r="F251" s="225"/>
      <x:c r="G251" s="219"/>
      <x:c r="H251" s="219"/>
      <x:c r="I251" s="219"/>
      <x:c r="J251" s="219"/>
      <x:c r="K251" s="219"/>
      <x:c r="L251" s="219"/>
      <x:c r="M251" s="219"/>
      <x:c r="N251" s="219"/>
    </x:row>
    <x:row r="252">
      <x:c r="A252" s="219"/>
      <x:c r="B252" s="219"/>
      <x:c r="C252" s="225"/>
      <x:c r="D252" s="219"/>
      <x:c r="E252" s="219"/>
      <x:c r="F252" s="225"/>
      <x:c r="G252" s="219"/>
      <x:c r="H252" s="219"/>
      <x:c r="I252" s="219"/>
      <x:c r="J252" s="219"/>
      <x:c r="K252" s="219"/>
      <x:c r="L252" s="219"/>
      <x:c r="M252" s="219"/>
      <x:c r="N252" s="219"/>
    </x:row>
    <x:row r="253">
      <x:c r="A253" s="219"/>
      <x:c r="B253" s="219"/>
      <x:c r="C253" s="225"/>
      <x:c r="D253" s="219"/>
      <x:c r="E253" s="219"/>
      <x:c r="F253" s="225"/>
      <x:c r="G253" s="219"/>
      <x:c r="H253" s="219"/>
      <x:c r="I253" s="219"/>
      <x:c r="J253" s="219"/>
      <x:c r="K253" s="219"/>
      <x:c r="L253" s="219"/>
      <x:c r="M253" s="219"/>
      <x:c r="N253" s="219"/>
    </x:row>
    <x:row r="254">
      <x:c r="A254" s="219"/>
      <x:c r="B254" s="219"/>
      <x:c r="C254" s="225"/>
      <x:c r="D254" s="219"/>
      <x:c r="E254" s="219"/>
      <x:c r="F254" s="225"/>
      <x:c r="G254" s="219"/>
      <x:c r="H254" s="219"/>
      <x:c r="I254" s="219"/>
      <x:c r="J254" s="219"/>
      <x:c r="K254" s="219"/>
      <x:c r="L254" s="219"/>
      <x:c r="M254" s="219"/>
      <x:c r="N254" s="219"/>
    </x:row>
    <x:row r="255">
      <x:c r="A255" s="219"/>
      <x:c r="B255" s="219"/>
      <x:c r="C255" s="225"/>
      <x:c r="D255" s="219"/>
      <x:c r="E255" s="219"/>
      <x:c r="F255" s="225"/>
      <x:c r="G255" s="219"/>
      <x:c r="H255" s="219"/>
      <x:c r="I255" s="219"/>
      <x:c r="J255" s="219"/>
      <x:c r="K255" s="219"/>
      <x:c r="L255" s="219"/>
      <x:c r="M255" s="219"/>
      <x:c r="N255" s="219"/>
    </x:row>
    <x:row r="256">
      <x:c r="A256" s="219"/>
      <x:c r="B256" s="219"/>
      <x:c r="C256" s="225"/>
      <x:c r="D256" s="219"/>
      <x:c r="E256" s="219"/>
      <x:c r="F256" s="225"/>
      <x:c r="G256" s="219"/>
      <x:c r="H256" s="219"/>
      <x:c r="I256" s="219"/>
      <x:c r="J256" s="219"/>
      <x:c r="K256" s="219"/>
      <x:c r="L256" s="219"/>
      <x:c r="M256" s="219"/>
      <x:c r="N256" s="219"/>
    </x:row>
    <x:row r="257">
      <x:c r="A257" s="219"/>
      <x:c r="B257" s="219"/>
      <x:c r="C257" s="225"/>
      <x:c r="D257" s="219"/>
      <x:c r="E257" s="219"/>
      <x:c r="F257" s="225"/>
      <x:c r="G257" s="219"/>
      <x:c r="H257" s="219"/>
      <x:c r="I257" s="219"/>
      <x:c r="J257" s="219"/>
      <x:c r="K257" s="219"/>
      <x:c r="L257" s="219"/>
      <x:c r="M257" s="219"/>
      <x:c r="N257" s="219"/>
    </x:row>
    <x:row r="258">
      <x:c r="A258" s="219"/>
      <x:c r="B258" s="219"/>
      <x:c r="C258" s="225"/>
      <x:c r="D258" s="219"/>
      <x:c r="E258" s="219"/>
      <x:c r="F258" s="225"/>
      <x:c r="G258" s="219"/>
      <x:c r="H258" s="219"/>
      <x:c r="I258" s="219"/>
      <x:c r="J258" s="219"/>
      <x:c r="K258" s="219"/>
      <x:c r="L258" s="219"/>
      <x:c r="M258" s="219"/>
      <x:c r="N258" s="219"/>
    </x:row>
    <x:row r="259">
      <x:c r="A259" s="219"/>
      <x:c r="B259" s="219"/>
      <x:c r="C259" s="225"/>
      <x:c r="D259" s="219"/>
      <x:c r="E259" s="219"/>
      <x:c r="F259" s="225"/>
      <x:c r="G259" s="219"/>
      <x:c r="H259" s="219"/>
      <x:c r="I259" s="219"/>
      <x:c r="J259" s="219"/>
      <x:c r="K259" s="219"/>
      <x:c r="L259" s="219"/>
      <x:c r="M259" s="219"/>
      <x:c r="N259" s="219"/>
    </x:row>
    <x:row r="260">
      <x:c r="A260" s="219"/>
      <x:c r="B260" s="219"/>
      <x:c r="C260" s="225"/>
      <x:c r="D260" s="219"/>
      <x:c r="E260" s="219"/>
      <x:c r="F260" s="225"/>
      <x:c r="G260" s="219"/>
      <x:c r="H260" s="219"/>
      <x:c r="I260" s="219"/>
      <x:c r="J260" s="219"/>
      <x:c r="K260" s="219"/>
      <x:c r="L260" s="219"/>
      <x:c r="M260" s="219"/>
      <x:c r="N260" s="219"/>
    </x:row>
    <x:row r="261">
      <x:c r="A261" s="219"/>
      <x:c r="B261" s="219"/>
      <x:c r="C261" s="225"/>
      <x:c r="D261" s="219"/>
      <x:c r="E261" s="219"/>
      <x:c r="F261" s="225"/>
      <x:c r="G261" s="219"/>
      <x:c r="H261" s="219"/>
      <x:c r="I261" s="219"/>
      <x:c r="J261" s="219"/>
      <x:c r="K261" s="219"/>
      <x:c r="L261" s="219"/>
      <x:c r="M261" s="219"/>
      <x:c r="N261" s="219"/>
    </x:row>
    <x:row r="262">
      <x:c r="A262" s="219"/>
      <x:c r="B262" s="219"/>
      <x:c r="C262" s="225"/>
      <x:c r="D262" s="219"/>
      <x:c r="E262" s="219"/>
      <x:c r="F262" s="225"/>
      <x:c r="G262" s="219"/>
      <x:c r="H262" s="219"/>
      <x:c r="I262" s="219"/>
      <x:c r="J262" s="219"/>
      <x:c r="K262" s="219"/>
      <x:c r="L262" s="219"/>
      <x:c r="M262" s="219"/>
      <x:c r="N262" s="219"/>
    </x:row>
    <x:row r="263">
      <x:c r="A263" s="219"/>
      <x:c r="B263" s="219"/>
      <x:c r="C263" s="225"/>
      <x:c r="D263" s="219"/>
      <x:c r="E263" s="219"/>
      <x:c r="F263" s="225"/>
      <x:c r="G263" s="219"/>
      <x:c r="H263" s="219"/>
      <x:c r="I263" s="219"/>
      <x:c r="J263" s="219"/>
      <x:c r="K263" s="219"/>
      <x:c r="L263" s="219"/>
      <x:c r="M263" s="219"/>
      <x:c r="N263" s="219"/>
    </x:row>
    <x:row r="264">
      <x:c r="A264" s="219"/>
      <x:c r="B264" s="219"/>
      <x:c r="C264" s="225"/>
      <x:c r="D264" s="219"/>
      <x:c r="E264" s="219"/>
      <x:c r="F264" s="225"/>
      <x:c r="G264" s="219"/>
      <x:c r="H264" s="219"/>
      <x:c r="I264" s="219"/>
      <x:c r="J264" s="219"/>
      <x:c r="K264" s="219"/>
      <x:c r="L264" s="219"/>
      <x:c r="M264" s="219"/>
      <x:c r="N264" s="219"/>
    </x:row>
    <x:row r="265">
      <x:c r="A265" s="219"/>
      <x:c r="B265" s="219"/>
      <x:c r="C265" s="225"/>
      <x:c r="D265" s="219"/>
      <x:c r="E265" s="219"/>
      <x:c r="F265" s="225"/>
      <x:c r="G265" s="219"/>
      <x:c r="H265" s="219"/>
      <x:c r="I265" s="219"/>
      <x:c r="J265" s="219"/>
      <x:c r="K265" s="219"/>
      <x:c r="L265" s="219"/>
      <x:c r="M265" s="219"/>
      <x:c r="N265" s="219"/>
    </x:row>
    <x:row r="266">
      <x:c r="A266" s="219"/>
      <x:c r="B266" s="219"/>
      <x:c r="C266" s="225"/>
      <x:c r="D266" s="219"/>
      <x:c r="E266" s="219"/>
      <x:c r="F266" s="225"/>
      <x:c r="G266" s="219"/>
      <x:c r="H266" s="219"/>
      <x:c r="I266" s="219"/>
      <x:c r="J266" s="219"/>
      <x:c r="K266" s="219"/>
      <x:c r="L266" s="219"/>
      <x:c r="M266" s="219"/>
      <x:c r="N266" s="219"/>
    </x:row>
    <x:row r="267">
      <x:c r="A267" s="219"/>
      <x:c r="B267" s="219"/>
      <x:c r="C267" s="225"/>
      <x:c r="D267" s="219"/>
      <x:c r="E267" s="219"/>
      <x:c r="F267" s="225"/>
      <x:c r="G267" s="219"/>
      <x:c r="H267" s="219"/>
      <x:c r="I267" s="219"/>
      <x:c r="J267" s="219"/>
      <x:c r="K267" s="219"/>
      <x:c r="L267" s="219"/>
      <x:c r="M267" s="219"/>
      <x:c r="N267" s="219"/>
    </x:row>
    <x:row r="268">
      <x:c r="A268" s="219"/>
      <x:c r="B268" s="219"/>
      <x:c r="C268" s="225"/>
      <x:c r="D268" s="219"/>
      <x:c r="E268" s="219"/>
      <x:c r="F268" s="225"/>
      <x:c r="G268" s="219"/>
      <x:c r="H268" s="219"/>
      <x:c r="I268" s="219"/>
      <x:c r="J268" s="219"/>
      <x:c r="K268" s="219"/>
      <x:c r="L268" s="219"/>
      <x:c r="M268" s="219"/>
      <x:c r="N268" s="219"/>
    </x:row>
    <x:row r="269">
      <x:c r="A269" s="219"/>
      <x:c r="B269" s="219"/>
      <x:c r="C269" s="225"/>
      <x:c r="D269" s="219"/>
      <x:c r="E269" s="219"/>
      <x:c r="F269" s="225"/>
      <x:c r="G269" s="219"/>
      <x:c r="H269" s="219"/>
      <x:c r="I269" s="219"/>
      <x:c r="J269" s="219"/>
      <x:c r="K269" s="219"/>
      <x:c r="L269" s="219"/>
      <x:c r="M269" s="219"/>
      <x:c r="N269" s="219"/>
    </x:row>
    <x:row r="270">
      <x:c r="A270" s="219"/>
      <x:c r="B270" s="219"/>
      <x:c r="C270" s="225"/>
      <x:c r="D270" s="219"/>
      <x:c r="E270" s="219"/>
      <x:c r="F270" s="225"/>
      <x:c r="G270" s="219"/>
      <x:c r="H270" s="219"/>
      <x:c r="I270" s="219"/>
      <x:c r="J270" s="219"/>
      <x:c r="K270" s="219"/>
      <x:c r="L270" s="219"/>
      <x:c r="M270" s="219"/>
      <x:c r="N270" s="219"/>
    </x:row>
    <x:row r="271">
      <x:c r="A271" s="219"/>
      <x:c r="B271" s="219"/>
      <x:c r="C271" s="225"/>
      <x:c r="D271" s="219"/>
      <x:c r="E271" s="219"/>
      <x:c r="F271" s="225"/>
      <x:c r="G271" s="219"/>
      <x:c r="H271" s="219"/>
      <x:c r="I271" s="219"/>
      <x:c r="J271" s="219"/>
      <x:c r="K271" s="219"/>
      <x:c r="L271" s="219"/>
      <x:c r="M271" s="219"/>
      <x:c r="N271" s="219"/>
    </x:row>
    <x:row r="272">
      <x:c r="A272" s="219"/>
      <x:c r="B272" s="219"/>
      <x:c r="C272" s="225"/>
      <x:c r="D272" s="219"/>
      <x:c r="E272" s="219"/>
      <x:c r="F272" s="225"/>
      <x:c r="G272" s="219"/>
      <x:c r="H272" s="219"/>
      <x:c r="I272" s="219"/>
      <x:c r="J272" s="219"/>
      <x:c r="K272" s="219"/>
      <x:c r="L272" s="219"/>
      <x:c r="M272" s="219"/>
      <x:c r="N272" s="219"/>
    </x:row>
    <x:row r="273">
      <x:c r="A273" s="219"/>
      <x:c r="B273" s="219"/>
      <x:c r="C273" s="225"/>
      <x:c r="D273" s="219"/>
      <x:c r="E273" s="219"/>
      <x:c r="F273" s="225"/>
      <x:c r="G273" s="219"/>
      <x:c r="H273" s="219"/>
      <x:c r="I273" s="219"/>
      <x:c r="J273" s="219"/>
      <x:c r="K273" s="219"/>
      <x:c r="L273" s="219"/>
      <x:c r="M273" s="219"/>
      <x:c r="N273" s="219"/>
    </x:row>
    <x:row r="274">
      <x:c r="A274" s="219"/>
      <x:c r="B274" s="219"/>
      <x:c r="C274" s="225"/>
      <x:c r="D274" s="219"/>
      <x:c r="E274" s="219"/>
      <x:c r="F274" s="225"/>
      <x:c r="G274" s="219"/>
      <x:c r="H274" s="219"/>
      <x:c r="I274" s="219"/>
      <x:c r="J274" s="219"/>
      <x:c r="K274" s="219"/>
      <x:c r="L274" s="219"/>
      <x:c r="M274" s="219"/>
      <x:c r="N274" s="219"/>
    </x:row>
    <x:row r="275">
      <x:c r="A275" s="219"/>
      <x:c r="B275" s="219"/>
      <x:c r="C275" s="225"/>
      <x:c r="D275" s="219"/>
      <x:c r="E275" s="219"/>
      <x:c r="F275" s="225"/>
      <x:c r="G275" s="219"/>
      <x:c r="H275" s="219"/>
      <x:c r="I275" s="219"/>
      <x:c r="J275" s="219"/>
      <x:c r="K275" s="219"/>
      <x:c r="L275" s="219"/>
      <x:c r="M275" s="219"/>
      <x:c r="N275" s="219"/>
    </x:row>
    <x:row r="276">
      <x:c r="A276" s="219"/>
      <x:c r="B276" s="219"/>
      <x:c r="C276" s="225"/>
      <x:c r="D276" s="219"/>
      <x:c r="E276" s="219"/>
      <x:c r="F276" s="225"/>
      <x:c r="G276" s="219"/>
      <x:c r="H276" s="219"/>
      <x:c r="I276" s="219"/>
      <x:c r="J276" s="219"/>
      <x:c r="K276" s="219"/>
      <x:c r="L276" s="219"/>
      <x:c r="M276" s="219"/>
      <x:c r="N276" s="219"/>
    </x:row>
    <x:row r="277">
      <x:c r="A277" s="219"/>
      <x:c r="B277" s="219"/>
      <x:c r="C277" s="225"/>
      <x:c r="D277" s="219"/>
      <x:c r="E277" s="219"/>
      <x:c r="F277" s="225"/>
      <x:c r="G277" s="219"/>
      <x:c r="H277" s="219"/>
      <x:c r="I277" s="219"/>
      <x:c r="J277" s="219"/>
      <x:c r="K277" s="219"/>
      <x:c r="L277" s="219"/>
      <x:c r="M277" s="219"/>
      <x:c r="N277" s="219"/>
    </x:row>
    <x:row r="278">
      <x:c r="A278" s="219"/>
      <x:c r="B278" s="219"/>
      <x:c r="C278" s="225"/>
      <x:c r="D278" s="219"/>
      <x:c r="E278" s="219"/>
      <x:c r="F278" s="225"/>
      <x:c r="G278" s="219"/>
      <x:c r="H278" s="219"/>
      <x:c r="I278" s="219"/>
      <x:c r="J278" s="219"/>
      <x:c r="K278" s="219"/>
      <x:c r="L278" s="219"/>
      <x:c r="M278" s="219"/>
      <x:c r="N278" s="219"/>
    </x:row>
    <x:row r="279">
      <x:c r="A279" s="219"/>
      <x:c r="B279" s="219"/>
      <x:c r="C279" s="225"/>
      <x:c r="D279" s="219"/>
      <x:c r="E279" s="219"/>
      <x:c r="F279" s="225"/>
      <x:c r="G279" s="219"/>
      <x:c r="H279" s="219"/>
      <x:c r="I279" s="219"/>
      <x:c r="J279" s="219"/>
      <x:c r="K279" s="219"/>
      <x:c r="L279" s="219"/>
      <x:c r="M279" s="219"/>
      <x:c r="N279" s="219"/>
    </x:row>
    <x:row r="280">
      <x:c r="A280" s="219"/>
      <x:c r="B280" s="219"/>
      <x:c r="C280" s="225"/>
      <x:c r="D280" s="219"/>
      <x:c r="E280" s="219"/>
      <x:c r="F280" s="225"/>
      <x:c r="G280" s="219"/>
      <x:c r="H280" s="219"/>
      <x:c r="I280" s="219"/>
      <x:c r="J280" s="219"/>
      <x:c r="K280" s="219"/>
      <x:c r="L280" s="219"/>
      <x:c r="M280" s="219"/>
      <x:c r="N280" s="219"/>
    </x:row>
    <x:row r="281">
      <x:c r="A281" s="219"/>
      <x:c r="B281" s="219"/>
      <x:c r="C281" s="225"/>
      <x:c r="D281" s="219"/>
      <x:c r="E281" s="219"/>
      <x:c r="F281" s="225"/>
      <x:c r="G281" s="219"/>
      <x:c r="H281" s="219"/>
      <x:c r="I281" s="219"/>
      <x:c r="J281" s="219"/>
      <x:c r="K281" s="219"/>
      <x:c r="L281" s="219"/>
      <x:c r="M281" s="219"/>
      <x:c r="N281" s="219"/>
    </x:row>
    <x:row r="282">
      <x:c r="A282" s="219"/>
      <x:c r="B282" s="219"/>
      <x:c r="C282" s="225"/>
      <x:c r="D282" s="219"/>
      <x:c r="E282" s="219"/>
      <x:c r="F282" s="225"/>
      <x:c r="G282" s="219"/>
      <x:c r="H282" s="219"/>
      <x:c r="I282" s="219"/>
      <x:c r="J282" s="219"/>
      <x:c r="K282" s="219"/>
      <x:c r="L282" s="219"/>
      <x:c r="M282" s="219"/>
      <x:c r="N282" s="219"/>
    </x:row>
    <x:row r="283">
      <x:c r="A283" s="219"/>
      <x:c r="B283" s="219"/>
      <x:c r="C283" s="225"/>
      <x:c r="D283" s="219"/>
      <x:c r="E283" s="219"/>
      <x:c r="F283" s="225"/>
      <x:c r="G283" s="219"/>
      <x:c r="H283" s="219"/>
      <x:c r="I283" s="219"/>
      <x:c r="J283" s="219"/>
      <x:c r="K283" s="219"/>
      <x:c r="L283" s="219"/>
      <x:c r="M283" s="219"/>
      <x:c r="N283" s="219"/>
    </x:row>
    <x:row r="284">
      <x:c r="A284" s="219"/>
      <x:c r="B284" s="219"/>
      <x:c r="C284" s="225"/>
      <x:c r="D284" s="219"/>
      <x:c r="E284" s="219"/>
      <x:c r="F284" s="225"/>
      <x:c r="G284" s="219"/>
      <x:c r="H284" s="219"/>
      <x:c r="I284" s="219"/>
      <x:c r="J284" s="219"/>
      <x:c r="K284" s="219"/>
      <x:c r="L284" s="219"/>
      <x:c r="M284" s="219"/>
      <x:c r="N284" s="219"/>
    </x:row>
    <x:row r="285">
      <x:c r="A285" s="219"/>
      <x:c r="B285" s="219"/>
      <x:c r="C285" s="225"/>
      <x:c r="D285" s="219"/>
      <x:c r="E285" s="219"/>
      <x:c r="F285" s="225"/>
      <x:c r="G285" s="219"/>
      <x:c r="H285" s="219"/>
      <x:c r="I285" s="219"/>
      <x:c r="J285" s="219"/>
      <x:c r="K285" s="219"/>
      <x:c r="L285" s="219"/>
      <x:c r="M285" s="219"/>
      <x:c r="N285" s="219"/>
    </x:row>
    <x:row r="286">
      <x:c r="A286" s="219"/>
      <x:c r="B286" s="219"/>
      <x:c r="C286" s="225"/>
      <x:c r="D286" s="219"/>
      <x:c r="E286" s="219"/>
      <x:c r="F286" s="225"/>
      <x:c r="G286" s="219"/>
      <x:c r="H286" s="219"/>
      <x:c r="I286" s="219"/>
      <x:c r="J286" s="219"/>
      <x:c r="K286" s="219"/>
      <x:c r="L286" s="219"/>
      <x:c r="M286" s="219"/>
      <x:c r="N286" s="219"/>
    </x:row>
    <x:row r="287">
      <x:c r="A287" s="219"/>
      <x:c r="B287" s="219"/>
      <x:c r="C287" s="225"/>
      <x:c r="D287" s="219"/>
      <x:c r="E287" s="219"/>
      <x:c r="F287" s="225"/>
      <x:c r="G287" s="219"/>
      <x:c r="H287" s="219"/>
      <x:c r="I287" s="219"/>
      <x:c r="J287" s="219"/>
      <x:c r="K287" s="219"/>
      <x:c r="L287" s="219"/>
      <x:c r="M287" s="219"/>
      <x:c r="N287" s="219"/>
    </x:row>
    <x:row r="288">
      <x:c r="A288" s="219"/>
      <x:c r="B288" s="219"/>
      <x:c r="C288" s="225"/>
      <x:c r="D288" s="219"/>
      <x:c r="E288" s="219"/>
      <x:c r="F288" s="225"/>
      <x:c r="G288" s="219"/>
      <x:c r="H288" s="219"/>
      <x:c r="I288" s="219"/>
      <x:c r="J288" s="219"/>
      <x:c r="K288" s="219"/>
      <x:c r="L288" s="219"/>
      <x:c r="M288" s="219"/>
      <x:c r="N288" s="219"/>
    </x:row>
    <x:row r="289">
      <x:c r="A289" s="219"/>
      <x:c r="B289" s="219"/>
      <x:c r="C289" s="225"/>
      <x:c r="D289" s="219"/>
      <x:c r="E289" s="219"/>
      <x:c r="F289" s="225"/>
      <x:c r="G289" s="219"/>
      <x:c r="H289" s="219"/>
      <x:c r="I289" s="219"/>
      <x:c r="J289" s="219"/>
      <x:c r="K289" s="219"/>
      <x:c r="L289" s="219"/>
      <x:c r="M289" s="219"/>
      <x:c r="N289" s="219"/>
    </x:row>
    <x:row r="290">
      <x:c r="A290" s="219"/>
      <x:c r="B290" s="219"/>
      <x:c r="C290" s="225"/>
      <x:c r="D290" s="219"/>
      <x:c r="E290" s="219"/>
      <x:c r="F290" s="225"/>
      <x:c r="G290" s="219"/>
      <x:c r="H290" s="219"/>
      <x:c r="I290" s="219"/>
      <x:c r="J290" s="219"/>
      <x:c r="K290" s="219"/>
      <x:c r="L290" s="219"/>
      <x:c r="M290" s="219"/>
      <x:c r="N290" s="219"/>
    </x:row>
    <x:row r="291">
      <x:c r="A291" s="219"/>
      <x:c r="B291" s="219"/>
      <x:c r="C291" s="225"/>
      <x:c r="D291" s="219"/>
      <x:c r="E291" s="219"/>
      <x:c r="F291" s="225"/>
      <x:c r="G291" s="219"/>
      <x:c r="H291" s="219"/>
      <x:c r="I291" s="219"/>
      <x:c r="J291" s="219"/>
      <x:c r="K291" s="219"/>
      <x:c r="L291" s="219"/>
      <x:c r="M291" s="219"/>
      <x:c r="N291" s="219"/>
    </x:row>
    <x:row r="292">
      <x:c r="A292" s="219"/>
      <x:c r="B292" s="219"/>
      <x:c r="C292" s="225"/>
      <x:c r="D292" s="219"/>
      <x:c r="E292" s="219"/>
      <x:c r="F292" s="225"/>
      <x:c r="G292" s="219"/>
      <x:c r="H292" s="219"/>
      <x:c r="I292" s="219"/>
      <x:c r="J292" s="219"/>
      <x:c r="K292" s="219"/>
      <x:c r="L292" s="219"/>
      <x:c r="M292" s="219"/>
      <x:c r="N292" s="219"/>
    </x:row>
    <x:row r="293">
      <x:c r="A293" s="219"/>
      <x:c r="B293" s="219"/>
      <x:c r="C293" s="225"/>
      <x:c r="D293" s="219"/>
      <x:c r="E293" s="219"/>
      <x:c r="F293" s="225"/>
      <x:c r="G293" s="219"/>
      <x:c r="H293" s="219"/>
      <x:c r="I293" s="219"/>
      <x:c r="J293" s="219"/>
      <x:c r="K293" s="219"/>
      <x:c r="L293" s="219"/>
      <x:c r="M293" s="219"/>
      <x:c r="N293" s="219"/>
    </x:row>
    <x:row r="294">
      <x:c r="A294" s="219"/>
      <x:c r="B294" s="219"/>
      <x:c r="C294" s="225"/>
      <x:c r="D294" s="219"/>
      <x:c r="E294" s="219"/>
      <x:c r="F294" s="225"/>
      <x:c r="G294" s="219"/>
      <x:c r="H294" s="219"/>
      <x:c r="I294" s="219"/>
      <x:c r="J294" s="219"/>
      <x:c r="K294" s="219"/>
      <x:c r="L294" s="219"/>
      <x:c r="M294" s="219"/>
      <x:c r="N294" s="219"/>
    </x:row>
    <x:row r="295">
      <x:c r="A295" s="219"/>
      <x:c r="B295" s="219"/>
      <x:c r="C295" s="225"/>
      <x:c r="D295" s="219"/>
      <x:c r="E295" s="219"/>
      <x:c r="F295" s="225"/>
      <x:c r="G295" s="219"/>
      <x:c r="H295" s="219"/>
      <x:c r="I295" s="219"/>
      <x:c r="J295" s="219"/>
      <x:c r="K295" s="219"/>
      <x:c r="L295" s="219"/>
      <x:c r="M295" s="219"/>
      <x:c r="N295" s="219"/>
    </x:row>
    <x:row r="296">
      <x:c r="A296" s="219"/>
      <x:c r="B296" s="219"/>
      <x:c r="C296" s="225"/>
      <x:c r="D296" s="219"/>
      <x:c r="E296" s="219"/>
      <x:c r="F296" s="225"/>
      <x:c r="G296" s="219"/>
      <x:c r="H296" s="219"/>
      <x:c r="I296" s="219"/>
      <x:c r="J296" s="219"/>
      <x:c r="K296" s="219"/>
      <x:c r="L296" s="219"/>
      <x:c r="M296" s="219"/>
      <x:c r="N296" s="219"/>
    </x:row>
    <x:row r="297">
      <x:c r="A297" s="219"/>
      <x:c r="B297" s="219"/>
      <x:c r="C297" s="225"/>
      <x:c r="D297" s="219"/>
      <x:c r="E297" s="219"/>
      <x:c r="F297" s="225"/>
      <x:c r="G297" s="219"/>
      <x:c r="H297" s="219"/>
      <x:c r="I297" s="219"/>
      <x:c r="J297" s="219"/>
      <x:c r="K297" s="219"/>
      <x:c r="L297" s="219"/>
      <x:c r="M297" s="219"/>
      <x:c r="N297" s="219"/>
    </x:row>
    <x:row r="298">
      <x:c r="A298" s="219"/>
      <x:c r="B298" s="219"/>
      <x:c r="C298" s="225"/>
      <x:c r="D298" s="219"/>
      <x:c r="E298" s="219"/>
      <x:c r="F298" s="225"/>
      <x:c r="G298" s="219"/>
      <x:c r="H298" s="219"/>
      <x:c r="I298" s="219"/>
      <x:c r="J298" s="219"/>
      <x:c r="K298" s="219"/>
      <x:c r="L298" s="219"/>
      <x:c r="M298" s="219"/>
      <x:c r="N298" s="219"/>
    </x:row>
    <x:row r="299">
      <x:c r="A299" s="219"/>
      <x:c r="B299" s="219"/>
      <x:c r="C299" s="225"/>
      <x:c r="D299" s="219"/>
      <x:c r="E299" s="219"/>
      <x:c r="F299" s="225"/>
      <x:c r="G299" s="219"/>
      <x:c r="H299" s="219"/>
      <x:c r="I299" s="219"/>
      <x:c r="J299" s="219"/>
      <x:c r="K299" s="219"/>
      <x:c r="L299" s="219"/>
      <x:c r="M299" s="219"/>
      <x:c r="N299" s="219"/>
    </x:row>
    <x:row r="300">
      <x:c r="A300" s="219"/>
      <x:c r="B300" s="219"/>
      <x:c r="C300" s="225"/>
      <x:c r="D300" s="219"/>
      <x:c r="E300" s="219"/>
      <x:c r="F300" s="225"/>
      <x:c r="G300" s="219"/>
      <x:c r="H300" s="219"/>
      <x:c r="I300" s="219"/>
      <x:c r="J300" s="219"/>
      <x:c r="K300" s="219"/>
      <x:c r="L300" s="219"/>
      <x:c r="M300" s="219"/>
      <x:c r="N300" s="219"/>
    </x:row>
  </x:sheetData>
  <x:pageMargins left="0.7" right="0.7" top="0.75" bottom="0.75" header="0.3" footer="0.3"/>
  <x:tableParts count="1">
    <x:tablePart xmlns:r="http://schemas.openxmlformats.org/officeDocument/2006/relationships" r:id="R0ca163cec7314237"/>
  </x:tableParts>
</x:worksheet>
</file>

<file path=xl/worksheets/sheet4.xml><?xml version="1.0" encoding="utf-8"?>
<x:worksheet xmlns:x="http://schemas.openxmlformats.org/spreadsheetml/2006/main">
  <x:sheetFormatPr defaultRowHeight="15"/>
  <x:cols>
    <x:col min="1" max="1" width="6" hidden="0" customWidth="1"/>
    <x:col min="2" max="2" width="70" hidden="0" customWidth="1"/>
    <x:col min="3" max="3" width="70" hidden="0" customWidth="1"/>
  </x:cols>
  <x:sheetData>
    <x:row r="1" ht="30" customHeight="1">
      <x:c r="A1" s="197" t="str">
        <x:v>使い方・注意点</x:v>
      </x:c>
      <x:c r="B1" s="197"/>
      <x:c r="C1" s="197"/>
    </x:row>
    <x:row r="3">
      <x:c r="A3" s="216" t="str">
        <x:v>1</x:v>
      </x:c>
      <x:c r="B3" s="216" t="str">
        <x:v>「入力・計算」シートで、売上金額と歩合率を入力すると支給額が計算されます。支給額を直接入力したい場合は、E列の数式を上書きしてください。</x:v>
      </x:c>
      <x:c r="C3" s="216" t="str"/>
    </x:row>
    <x:row r="4">
      <x:c r="A4" s="216" t="str">
        <x:v>2</x:v>
      </x:c>
      <x:c r="B4" s="216" t="str">
        <x:v>F列は給与から控除する社会保険料等がある場合に入力します。通常の短時間アルバイトで控除がなければ0円です。</x:v>
      </x:c>
      <x:c r="C4" s="216" t="str"/>
    </x:row>
    <x:row r="5">
      <x:c r="A5" s="216" t="str">
        <x:v>3</x:v>
      </x:c>
      <x:c r="B5" s="216" t="str">
        <x:v>H列は、扶養控除等申告書を提出してもらう場合は「甲（申告書あり）」、提出がない場合は「乙（提出なし）」を選びます。</x:v>
      </x:c>
      <x:c r="C5" s="216" t="str"/>
    </x:row>
    <x:row r="6">
      <x:c r="A6" s="216" t="str">
        <x:v>4</x:v>
      </x:c>
      <x:c r="B6" s="216" t="str">
        <x:v>I列の扶養親族等の数は、扶養控除等申告書の内容に基づいて入力します。通常は0人から開始で確認してください。</x:v>
      </x:c>
      <x:c r="C6" s="216" t="str"/>
    </x:row>
    <x:row r="7">
      <x:c r="A7" s="216" t="str">
        <x:v>5</x:v>
      </x:c>
      <x:c r="B7" s="216" t="str">
        <x:v>J列が源泉所得税、K列が差引支給額です。</x:v>
      </x:c>
      <x:c r="C7" s="216" t="str"/>
    </x:row>
    <x:row r="8">
      <x:c r="A8" s="216" t="str">
        <x:v>6</x:v>
      </x:c>
      <x:c r="B8" s="216" t="str">
        <x:v>このシートは令和8年分の給与所得の源泉徴収税額表（月額表）をもとに作成しています。令和7年分以前の給与には使わないでください。</x:v>
      </x:c>
      <x:c r="C8" s="216" t="str"/>
    </x:row>
    <x:row r="9">
      <x:c r="A9" s="216" t="str">
        <x:v>7</x:v>
      </x:c>
      <x:c r="B9" s="216" t="str">
        <x:v>賞与、日払い、日雇い丙欄、年末調整、住民税、雇用保険料の計算は含めていません。</x:v>
      </x:c>
      <x:c r="C9" s="216" t="str"/>
    </x:row>
    <x:row r="10">
      <x:c r="A10" s="216" t="str">
        <x:v>8</x:v>
      </x:c>
      <x:c r="B10" s="216" t="str">
        <x:v>出典</x:v>
      </x:c>
      <x:c r="C10" s="216" t="str">
        <x:v>https://www.nta.go.jp/publication/pamph/gensen/zeigakuhyo2026/01.htm</x:v>
      </x:c>
    </x:row>
    <x:row r="11">
      <x:c r="A11" s="216" t="str">
        <x:v>9</x:v>
      </x:c>
      <x:c r="B11" s="216" t="str">
        <x:v>月額表Excel</x:v>
      </x:c>
      <x:c r="C11" s="216" t="str">
        <x:v>https://www.nta.go.jp/publication/pamph/gensen/zeigakuhyo2026/data/01-07.xls</x:v>
      </x:c>
    </x:row>
    <x:row r="12">
      <x:c r="A12" s="216" t="str">
        <x:v>10</x:v>
      </x:c>
      <x:c r="B12" s="216" t="str">
        <x:v>最終確認は税理士または税務署に確認してください。</x:v>
      </x:c>
      <x:c r="C12" s="216" t="str"/>
    </x:row>
  </x:sheetData>
  <x:mergeCells>
    <x:mergeCell ref="A1:C1"/>
  </x:mergeCells>
  <x:pageMargins left="0.7" right="0.7" top="0.75" bottom="0.75" header="0.3" footer="0.3"/>
</x:worksheet>
</file>